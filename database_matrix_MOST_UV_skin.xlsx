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5bff36286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вигатор" sheetId="1" r:id="Ref1427c72e86420b"/>
    <x:sheet xmlns:r="http://schemas.openxmlformats.org/officeDocument/2006/relationships" name="Все_ресурсы" sheetId="2" r:id="Rd6dc37cf05044148"/>
    <x:sheet xmlns:r="http://schemas.openxmlformats.org/officeDocument/2006/relationships" name="MOST" sheetId="3" r:id="R9be988b494de48cf"/>
    <x:sheet xmlns:r="http://schemas.openxmlformats.org/officeDocument/2006/relationships" name="UV_кожа" sheetId="4" r:id="R184ea1772d2f4d24"/>
    <x:sheet xmlns:r="http://schemas.openxmlformats.org/officeDocument/2006/relationships" name="Скачивание" sheetId="5" r:id="Rd3544d9623ef4225"/>
    <x:sheet xmlns:r="http://schemas.openxmlformats.org/officeDocument/2006/relationships" name="Карта_свойств" sheetId="6" r:id="Re0c775bbef4341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7"/>
      <x:name val="Arial"/>
    </x:font>
    <x:font>
      <x:b/>
      <x:sz val="15"/>
      <x:color rgb="FF173B57"/>
      <x:name val="Arial"/>
    </x:font>
    <x:font>
      <x:i/>
      <x:sz val="9"/>
      <x:color rgb="FF667085"/>
      <x:name val="Arial"/>
    </x:font>
    <x:font>
      <x:b/>
      <x:sz val="11"/>
      <x:color rgb="FF173B57"/>
      <x:name val="Arial"/>
    </x:font>
    <x:font>
      <x:sz val="11"/>
      <x:color rgb="FF1F2937"/>
      <x:name val="Arial"/>
    </x:font>
    <x:font>
      <x:b/>
      <x:sz val="9"/>
      <x:color rgb="FFFFFFFF"/>
      <x:name val="Arial"/>
    </x:font>
    <x:font>
      <x:b/>
      <x:sz val="10"/>
      <x:color rgb="FF197C8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DEFF0"/>
      </x:patternFill>
    </x:fill>
    <x:fill>
      <x:patternFill patternType="solid">
        <x:fgColor rgb="FF173B57"/>
      </x:patternFill>
    </x:fill>
    <x:fill>
      <x:patternFill patternType="solid">
        <x:fgColor rgb="FFF5F8FA"/>
      </x:patternFill>
    </x:fill>
  </x:fills>
  <x:borders count="4">
    <x:border/>
    <x:border>
      <x:bottom style="thin">
        <x:color rgb="FF197C83"/>
      </x:bottom>
    </x:border>
    <x:border>
      <x:left style="thin">
        <x:color rgb="FF197C83"/>
      </x:left>
      <x:right style="thin">
        <x:color rgb="FF197C83"/>
      </x:right>
      <x:top style="thin">
        <x:color rgb="FF197C83"/>
      </x:top>
      <x:bottom style="thin">
        <x:color rgb="FF197C83"/>
      </x:bottom>
    </x:border>
    <x:border>
      <x:left style="thin">
        <x:color rgb="FFD3DEE5"/>
      </x:left>
      <x:right style="thin">
        <x:color rgb="FFD3DEE5"/>
      </x:right>
      <x:top style="thin">
        <x:color rgb="FFD3DEE5"/>
      </x:top>
      <x:bottom style="thin">
        <x:color rgb="FFD3DEE5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/>
    <x:xf numFmtId="0" fontId="1" fillId="0" borderId="3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E7F4ED"/>
        </x:patternFill>
      </x:fill>
    </x:dxf>
    <x:dxf>
      <x:font>
        <x:b/>
        <x:color rgb="FF92400E"/>
      </x:font>
      <x:fill>
        <x:patternFill patternType="solid">
          <x:bgColor rgb="FFFFF3E0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c9880c0274584" /><Relationship Type="http://schemas.openxmlformats.org/officeDocument/2006/relationships/theme" Target="/xl/theme/theme1.xml" Id="Rba00f297ced94b59" /><Relationship Type="http://schemas.openxmlformats.org/officeDocument/2006/relationships/sharedStrings" Target="/xl/sharedStrings.xml" Id="Rf8b3c62d12d64177" /><Relationship Type="http://schemas.openxmlformats.org/officeDocument/2006/relationships/worksheet" Target="/xl/worksheets/sheet1.xml" Id="Ref1427c72e86420b" /><Relationship Type="http://schemas.openxmlformats.org/officeDocument/2006/relationships/worksheet" Target="/xl/worksheets/sheet2.xml" Id="Rd6dc37cf05044148" /><Relationship Type="http://schemas.openxmlformats.org/officeDocument/2006/relationships/worksheet" Target="/xl/worksheets/sheet3.xml" Id="R9be988b494de48cf" /><Relationship Type="http://schemas.openxmlformats.org/officeDocument/2006/relationships/worksheet" Target="/xl/worksheets/sheet4.xml" Id="R184ea1772d2f4d24" /><Relationship Type="http://schemas.openxmlformats.org/officeDocument/2006/relationships/worksheet" Target="/xl/worksheets/sheet5.xml" Id="Rd3544d9623ef4225" /><Relationship Type="http://schemas.openxmlformats.org/officeDocument/2006/relationships/worksheet" Target="/xl/worksheets/sheet6.xml" Id="Re0c775bbef434158" /></Relationships>
</file>

<file path=xl/tables/table1.xml><?xml version="1.0" encoding="utf-8"?>
<x:table xmlns:x="http://schemas.openxmlformats.org/spreadsheetml/2006/main" id="1" name="ResourceMatrix" displayName="ResourceMatrix" ref="A3:P45" headerRowCount="1" totalsRowCount="0" totalsRowShown="0">
  <x:tableColumns count="16">
    <x:tableColumn id="1" name="ID"/>
    <x:tableColumn id="2" name="Блок"/>
    <x:tableColumn id="3" name="Ресурс"/>
    <x:tableColumn id="4" name="Тип"/>
    <x:tableColumn id="5" name="Охват"/>
    <x:tableColumn id="6" name="Метки/поля"/>
    <x:tableColumn id="7" name="Данные"/>
    <x:tableColumn id="8" name="Формат"/>
    <x:tableColumn id="9" name="Bulk"/>
    <x:tableColumn id="10" name="Лицензия"/>
    <x:tableColumn id="11" name="URL"/>
    <x:tableColumn id="12" name="Как скачать"/>
    <x:tableColumn id="13" name="Роль"/>
    <x:tableColumn id="14" name="Критическое ограничение"/>
    <x:tableColumn id="15" name="Приоритет"/>
    <x:tableColumn id="16" name="Gr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STResources" displayName="MOSTResources" ref="A3:J21" headerRowCount="1" totalsRowCount="0" totalsRowShown="0">
  <x:tableColumns count="10">
    <x:tableColumn id="1" name="ID"/>
    <x:tableColumn id="2" name="Ресурс"/>
    <x:tableColumn id="3" name="Охват"/>
    <x:tableColumn id="4" name="Ключевые поля"/>
    <x:tableColumn id="5" name="Формат"/>
    <x:tableColumn id="6" name="Bulk"/>
    <x:tableColumn id="7" name="Лицензия"/>
    <x:tableColumn id="8" name="URL"/>
    <x:tableColumn id="9" name="Приоритет"/>
    <x:tableColumn id="10" name="Gra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VSkinResources" displayName="UVSkinResources" ref="A3:J27" headerRowCount="1" totalsRowCount="0" totalsRowShown="0">
  <x:tableColumns count="10">
    <x:tableColumn id="1" name="ID"/>
    <x:tableColumn id="2" name="Ресурс"/>
    <x:tableColumn id="3" name="Охват"/>
    <x:tableColumn id="4" name="Ключевые поля"/>
    <x:tableColumn id="5" name="Формат"/>
    <x:tableColumn id="6" name="Bulk"/>
    <x:tableColumn id="7" name="Лицензия"/>
    <x:tableColumn id="8" name="URL"/>
    <x:tableColumn id="9" name="Приоритет"/>
    <x:tableColumn id="10" name="Gra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wnloadMatrix" displayName="DownloadMatrix" ref="A3:H45" headerRowCount="1" totalsRowCount="0" totalsRowShown="0">
  <x:tableColumns count="8">
    <x:tableColumn id="1" name="ID"/>
    <x:tableColumn id="2" name="Ресурс"/>
    <x:tableColumn id="3" name="Тип доступа"/>
    <x:tableColumn id="4" name="Команда или действие"/>
    <x:tableColumn id="5" name="После скачивания"/>
    <x:tableColumn id="6" name="Автоматизация"/>
    <x:tableColumn id="7" name="Приоритет"/>
    <x:tableColumn id="8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pertyMap" displayName="PropertyMap" ref="A3:H18" headerRowCount="1" totalsRowCount="0" totalsRowShown="0">
  <x:tableColumns count="8">
    <x:tableColumn id="1" name="Свойство"/>
    <x:tableColumn id="2" name="Уровень"/>
    <x:tableColumn id="3" name="Основные источники"/>
    <x:tableColumn id="4" name="Что брать из данных"/>
    <x:tableColumn id="5" name="Что можно считать"/>
    <x:tableColumn id="6" name="Главный confounder"/>
    <x:tableColumn id="7" name="Покрытие"/>
    <x:tableColumn id="8" name="Рекомендац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a1d271d77a41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53ffb8d8ab49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3b428c3f5645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93b5cd811d42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8bfc78b1e54d48" /></Relationships>
</file>

<file path=xl/worksheets/sheet1.xml><?xml version="1.0" encoding="utf-8"?>
<x:worksheet xmlns:x="http://schemas.openxmlformats.org/spreadsheetml/2006/main">
  <x:sheetPr>
    <x:tabColor rgb="FF197C8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6" customHeight="1">
      <x:c r="A2" s="2" t="str">
        <x:v>Открытые данные для MOST × UV-фильтры × кожа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4" t="str">
        <x:v>Проверено 9 сентября 2026 года · 42 ресурса · A = bulk-ready, B = ручной экспорт, C = literature-only</x:v>
      </x:c>
      <x:c r="B3" s="4"/>
      <x:c r="C3" s="4"/>
      <x:c r="D3" s="4"/>
      <x:c r="E3" s="4"/>
      <x:c r="F3" s="4"/>
      <x:c r="G3" s="4"/>
      <x:c r="H3" s="4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" t="str">
        <x:v>Главный вывод</x:v>
      </x:c>
      <x:c r="B5" s="5"/>
      <x:c r="C5" s="5"/>
      <x:c r="D5" s="5"/>
      <x:c r="E5" s="5"/>
      <x:c r="F5" s="5"/>
      <x:c r="G5" s="5"/>
      <x:c r="H5" s="5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3" customHeight="1">
      <x:c r="A6" s="10" t="str">
        <x:v>Единой открытой базы, где одна и та же молекула имеет MOST-энергетику, спектр в плёнке, реальный SPF/UVA-PF, permeation и skin safety, не найдено. Корпус следует строить как связанную long-form систему с отдельными таблицами compound, switch_pair, measurement, condition, source, regulatory_status и product_use.</x:v>
      </x:c>
      <x:c r="B6" s="10"/>
      <x:c r="C6" s="10"/>
      <x:c r="D6" s="10"/>
      <x:c r="E6" s="10"/>
      <x:c r="F6" s="10"/>
      <x:c r="G6" s="10"/>
      <x:c r="H6" s="10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" customHeight="1">
      <x:c r="A7" s="10"/>
      <x:c r="B7" s="10"/>
      <x:c r="C7" s="10"/>
      <x:c r="D7" s="10"/>
      <x:c r="E7" s="10"/>
      <x:c r="F7" s="10"/>
      <x:c r="G7" s="10"/>
      <x:c r="H7" s="10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" customHeight="1">
      <x:c r="A8" s="10"/>
      <x:c r="B8" s="10"/>
      <x:c r="C8" s="10"/>
      <x:c r="D8" s="10"/>
      <x:c r="E8" s="10"/>
      <x:c r="F8" s="10"/>
      <x:c r="G8" s="10"/>
      <x:c r="H8" s="10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3" customHeight="1">
      <x:c r="A9" s="10"/>
      <x:c r="B9" s="10"/>
      <x:c r="C9" s="10"/>
      <x:c r="D9" s="10"/>
      <x:c r="E9" s="10"/>
      <x:c r="F9" s="10"/>
      <x:c r="G9" s="10"/>
      <x:c r="H9" s="10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6" customHeight="1">
      <x:c r="A12" s="16" t="str">
        <x:v>Блок</x:v>
      </x:c>
      <x:c r="B12" s="16" t="str">
        <x:v>Всего</x:v>
      </x:c>
      <x:c r="C12" s="16" t="str">
        <x:v>A</x:v>
      </x:c>
      <x:c r="D12" s="16" t="str">
        <x:v>B/C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7" t="str">
        <x:v>MOST/photoswitch/spectral/QM</x:v>
      </x:c>
      <x:c r="B13" s="18" t="n">
        <x:v>18</x:v>
      </x:c>
      <x:c r="C13" s="18" t="n">
        <x:v>14</x:v>
      </x:c>
      <x:c r="D13" s="18" t="n">
        <x:v>4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7" t="str">
        <x:v>UV filters/skin/product-use</x:v>
      </x:c>
      <x:c r="B14" s="18" t="n">
        <x:v>24</x:v>
      </x:c>
      <x:c r="C14" s="18" t="n">
        <x:v>16</x:v>
      </x:c>
      <x:c r="D14" s="18" t="n">
        <x:v>8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" t="str">
        <x:v>Стартовый P0-пакет</x:v>
      </x:c>
      <x:c r="B17" s="5"/>
      <x:c r="C17" s="5"/>
      <x:c r="D17" s="5"/>
      <x:c r="E17" s="5"/>
      <x:c r="F17" s="5"/>
      <x:c r="G17" s="5"/>
      <x:c r="H17" s="5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4" hidden="0" customHeight="1">
      <x:c r="A18" s="22" t="str">
        <x:v>MOST core</x:v>
      </x:c>
      <x:c r="B18" s="22" t="str">
        <x:v>M01</x:v>
      </x:c>
      <x:c r="C18" s="22" t="str">
        <x:v>Photoswitch Dataset</x:v>
      </x:c>
      <x:c r="D18" s="22" t="str">
        <x:v>M03</x:v>
      </x:c>
      <x:c r="E18" s="22" t="str">
        <x:v>Dewar pyrimidone</x:v>
      </x:c>
      <x:c r="F18" s="22" t="str">
        <x:v>M04</x:v>
      </x:c>
      <x:c r="G18" s="22" t="str">
        <x:v>Mainz NBD raw</x:v>
      </x:c>
      <x:c r="H18" s="22" t="str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36" hidden="0" customHeight="1">
      <x:c r="A19" s="21" t="str">
        <x:v>Spectral transfer</x:v>
      </x:c>
      <x:c r="B19" s="21" t="str">
        <x:v>M11</x:v>
      </x:c>
      <x:c r="C19" s="21" t="str">
        <x:v>Deep4Chem</x:v>
      </x:c>
      <x:c r="D19" s="21" t="str">
        <x:v>M12</x:v>
      </x:c>
      <x:c r="E19" s="21" t="str">
        <x:v>UV–Vis comparative</x:v>
      </x:c>
      <x:c r="F19" s="21" t="str">
        <x:v>M13</x:v>
      </x:c>
      <x:c r="G19" s="21" t="str">
        <x:v>uvvisml</x:v>
      </x:c>
      <x:c r="H19" s="21" t="str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4" hidden="0" customHeight="1">
      <x:c r="A20" s="22" t="str">
        <x:v>Regulation</x:v>
      </x:c>
      <x:c r="B20" s="22" t="str">
        <x:v>U01</x:v>
      </x:c>
      <x:c r="C20" s="22" t="str">
        <x:v>EU Annex VI/CosIng</x:v>
      </x:c>
      <x:c r="D20" s="22" t="str">
        <x:v>U03</x:v>
      </x:c>
      <x:c r="E20" s="22" t="str">
        <x:v>FDA M020</x:v>
      </x:c>
      <x:c r="F20" s="22" t="str">
        <x:v>U06</x:v>
      </x:c>
      <x:c r="G20" s="22" t="str">
        <x:v>SCCS opinions</x:v>
      </x:c>
      <x:c r="H20" s="22" t="str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4" hidden="0" customHeight="1">
      <x:c r="A21" s="21" t="str">
        <x:v>Skin safety</x:v>
      </x:c>
      <x:c r="B21" s="21" t="str">
        <x:v>U07</x:v>
      </x:c>
      <x:c r="C21" s="21" t="str">
        <x:v>NICE flat files</x:v>
      </x:c>
      <x:c r="D21" s="21" t="str">
        <x:v>U08</x:v>
      </x:c>
      <x:c r="E21" s="21" t="str">
        <x:v>SARA-ICE</x:v>
      </x:c>
      <x:c r="F21" s="21" t="str">
        <x:v>U09</x:v>
      </x:c>
      <x:c r="G21" s="21" t="str">
        <x:v>HPPT</x:v>
      </x:c>
      <x:c r="H21" s="21" t="str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22" t="str">
        <x:v>Permeation</x:v>
      </x:c>
      <x:c r="B22" s="22" t="str">
        <x:v>U11</x:v>
      </x:c>
      <x:c r="C22" s="22" t="str">
        <x:v>HuskinDB</x:v>
      </x:c>
      <x:c r="D22" s="22" t="str">
        <x:v>U12</x:v>
      </x:c>
      <x:c r="E22" s="22" t="str">
        <x:v>SkinPiX</x:v>
      </x:c>
      <x:c r="F22" s="22" t="str">
        <x:v>U14</x:v>
      </x:c>
      <x:c r="G22" s="22" t="str">
        <x:v>Dryad 73</x:v>
      </x:c>
      <x:c r="H22" s="22" t="str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36" hidden="0" customHeight="1">
      <x:c r="A23" s="21" t="str">
        <x:v>Use/products</x:v>
      </x:c>
      <x:c r="B23" s="21" t="str">
        <x:v>U21</x:v>
      </x:c>
      <x:c r="C23" s="21" t="str">
        <x:v>CPDat/ChemExpo</x:v>
      </x:c>
      <x:c r="D23" s="21" t="str">
        <x:v>U04</x:v>
      </x:c>
      <x:c r="E23" s="21" t="str">
        <x:v>openFDA labels</x:v>
      </x:c>
      <x:c r="F23" s="21" t="str">
        <x:v>U22</x:v>
      </x:c>
      <x:c r="G23" s="21" t="str">
        <x:v>Open Beauty Facts</x:v>
      </x:c>
      <x:c r="H23" s="21" t="str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22" t="str">
        <x:v>Identity</x:v>
      </x:c>
      <x:c r="B24" s="22" t="str">
        <x:v>U20</x:v>
      </x:c>
      <x:c r="C24" s="22" t="str">
        <x:v>CompTox</x:v>
      </x:c>
      <x:c r="D24" s="22" t="str">
        <x:v>U23</x:v>
      </x:c>
      <x:c r="E24" s="22" t="str">
        <x:v>PubChem</x:v>
      </x:c>
      <x:c r="F24" s="22" t="str"/>
      <x:c r="G24" s="22" t="str"/>
      <x:c r="H24" s="22" t="str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5" t="str">
        <x:v>Как читать книгу</x:v>
      </x:c>
      <x:c r="B27" s="5"/>
      <x:c r="C27" s="5"/>
      <x:c r="D27" s="5"/>
      <x:c r="E27" s="5"/>
      <x:c r="F27" s="5"/>
      <x:c r="G27" s="5"/>
      <x:c r="H27" s="5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6" customHeight="1">
      <x:c r="A28" s="25" t="str">
        <x:v>Все_ресурсы</x:v>
      </x:c>
      <x:c r="B28" s="26" t="str">
        <x:v>Полная матрица 42 ресурсов с лицензиями, форматами, ограничениями и приоритетом</x:v>
      </x:c>
      <x:c r="C28" s="26" t="str"/>
      <x:c r="D28" s="26" t="str"/>
      <x:c r="E28" s="26" t="str"/>
      <x:c r="F28" s="26" t="str"/>
      <x:c r="G28" s="26" t="str"/>
      <x:c r="H28" s="26" t="str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6" customHeight="1">
      <x:c r="A29" s="25" t="str">
        <x:v>MOST / UV_кожа</x:v>
      </x:c>
      <x:c r="B29" s="26" t="str">
        <x:v>Отдельные короткие выборки двух доменов</x:v>
      </x:c>
      <x:c r="C29" s="26" t="str"/>
      <x:c r="D29" s="26" t="str"/>
      <x:c r="E29" s="26" t="str"/>
      <x:c r="F29" s="26" t="str"/>
      <x:c r="G29" s="26" t="str"/>
      <x:c r="H29" s="26" t="str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6" customHeight="1">
      <x:c r="A30" s="25" t="str">
        <x:v>Скачивание</x:v>
      </x:c>
      <x:c r="B30" s="26" t="str">
        <x:v>Копируемые команды и пошаговые маршруты выгрузки</x:v>
      </x:c>
      <x:c r="C30" s="26" t="str"/>
      <x:c r="D30" s="26" t="str"/>
      <x:c r="E30" s="26" t="str"/>
      <x:c r="F30" s="26" t="str"/>
      <x:c r="G30" s="26" t="str"/>
      <x:c r="H30" s="26" t="str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6" customHeight="1">
      <x:c r="A31" s="25" t="str">
        <x:v>Карта_свойств</x:v>
      </x:c>
      <x:c r="B31" s="26" t="str">
        <x:v>Какие источники покрывают каждую цель генератора и где остаются пробелы</x:v>
      </x:c>
      <x:c r="C31" s="26" t="str"/>
      <x:c r="D31" s="26" t="str"/>
      <x:c r="E31" s="26" t="str"/>
      <x:c r="F31" s="26" t="str"/>
      <x:c r="G31" s="26" t="str"/>
      <x:c r="H31" s="26" t="str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2:H2"/>
    <x:mergeCell ref="A3:H3"/>
    <x:mergeCell ref="A5:H5"/>
    <x:mergeCell ref="A6:H9"/>
    <x:mergeCell ref="A17:H17"/>
    <x:mergeCell ref="A27:H27"/>
    <x:mergeCell ref="B28:H28"/>
    <x:mergeCell ref="B29:H29"/>
    <x:mergeCell ref="B30:H30"/>
    <x:mergeCell ref="B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B57"/>
  </x:sheetPr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7" hidden="0" customWidth="1"/>
    <x:col min="2" max="2" width="25" hidden="0" customWidth="1"/>
    <x:col min="3" max="3" width="34" hidden="0" customWidth="1"/>
    <x:col min="4" max="4" width="25" hidden="0" customWidth="1"/>
    <x:col min="5" max="5" width="34" hidden="0" customWidth="1"/>
    <x:col min="6" max="6" width="50" hidden="0" customWidth="1"/>
    <x:col min="7" max="7" width="22" hidden="0" customWidth="1"/>
    <x:col min="8" max="8" width="24" hidden="0" customWidth="1"/>
    <x:col min="9" max="9" width="18" hidden="0" customWidth="1"/>
    <x:col min="10" max="10" width="29" hidden="0" customWidth="1"/>
    <x:col min="11" max="11" width="45" hidden="0" customWidth="1"/>
    <x:col min="12" max="12" width="58" hidden="0" customWidth="1"/>
    <x:col min="13" max="13" width="45" hidden="0" customWidth="1"/>
    <x:col min="14" max="14" width="54" hidden="0" customWidth="1"/>
    <x:col min="15" max="15" width="14" hidden="0" customWidth="1"/>
    <x:col min="16" max="16" width="9" hidden="0" customWidth="1"/>
  </x:cols>
  <x:sheetData>
    <x:row r="1" ht="26" customHeight="1">
      <x:c r="A1" s="2" t="str">
        <x:v>Полная матрица ресурсов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" t="str">
        <x:v>Фильтруйте по блоку, приоритету и access grade; URL и инструкция проверялись на практическую доступность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6" customHeight="1">
      <x:c r="A3" s="16" t="str">
        <x:v>ID</x:v>
      </x:c>
      <x:c r="B3" s="16" t="str">
        <x:v>Блок</x:v>
      </x:c>
      <x:c r="C3" s="16" t="str">
        <x:v>Ресурс</x:v>
      </x:c>
      <x:c r="D3" s="16" t="str">
        <x:v>Тип</x:v>
      </x:c>
      <x:c r="E3" s="16" t="str">
        <x:v>Охват</x:v>
      </x:c>
      <x:c r="F3" s="16" t="str">
        <x:v>Метки/поля</x:v>
      </x:c>
      <x:c r="G3" s="16" t="str">
        <x:v>Данные</x:v>
      </x:c>
      <x:c r="H3" s="16" t="str">
        <x:v>Формат</x:v>
      </x:c>
      <x:c r="I3" s="16" t="str">
        <x:v>Bulk</x:v>
      </x:c>
      <x:c r="J3" s="16" t="str">
        <x:v>Лицензия</x:v>
      </x:c>
      <x:c r="K3" s="16" t="str">
        <x:v>URL</x:v>
      </x:c>
      <x:c r="L3" s="16" t="str">
        <x:v>Как скачать</x:v>
      </x:c>
      <x:c r="M3" s="16" t="str">
        <x:v>Роль</x:v>
      </x:c>
      <x:c r="N3" s="16" t="str">
        <x:v>Критическое ограничение</x:v>
      </x:c>
      <x:c r="O3" s="16" t="str">
        <x:v>Приоритет</x:v>
      </x:c>
      <x:c r="P3" s="16" t="str">
        <x:v>Grade</x:v>
      </x:c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6" hidden="0" customHeight="1">
      <x:c r="A4" s="27" t="str">
        <x:v>M01</x:v>
      </x:c>
      <x:c r="B4" s="22" t="str">
        <x:v>MOST / photoswitch</x:v>
      </x:c>
      <x:c r="C4" s="22" t="str">
        <x:v>The Photoswitch Dataset</x:v>
      </x:c>
      <x:c r="D4" s="22" t="str">
        <x:v>Курируемый ML-бенчмарк</x:v>
      </x:c>
      <x:c r="E4" s="22" t="str">
        <x:v>405 фотопереключателей; преимущественно азобензены</x:v>
      </x:c>
      <x:c r="F4" s="22" t="str">
        <x:v>SMILES; скорости термоизомеризации; PSS; λmax π–π* и n–π* для изомеров; ε; длина волны облучения; часть TD-DFT</x:v>
      </x:c>
      <x:c r="G4" s="22" t="str">
        <x:v>Эксперимент + расчёт</x:v>
      </x:c>
      <x:c r="H4" s="22" t="str">
        <x:v>CSV + код</x:v>
      </x:c>
      <x:c r="I4" s="22" t="str">
        <x:v>Да</x:v>
      </x:c>
      <x:c r="J4" s="22" t="str">
        <x:v>MIT (репозиторий)</x:v>
      </x:c>
      <x:c r="K4" s="22" t="str">
        <x:v>https://github.com/Ryan-Rhys/The-Photoswitch-Dataset</x:v>
      </x:c>
      <x:c r="L4" s="22" t="str">
        <x:v>git clone https://github.com/Ryan-Rhys/The-Photoswitch-Dataset.git; основные таблицы находятся в каталоге dataset/</x:v>
      </x:c>
      <x:c r="M4" s="22" t="str">
        <x:v>Главный открытый якорь для фотопереключательной фотохимии и проверки моделей λmax/PSS/кинетики</x:v>
      </x:c>
      <x:c r="N4" s="22" t="str">
        <x:v>Не база MOST-энергетики; почти нет ΔHstorage, тепловыделения, циклируемости и плёнок; сильный перекос к azo</x:v>
      </x:c>
      <x:c r="O4" s="27" t="str">
        <x:v>P0</x:v>
      </x:c>
      <x:c r="P4" s="27" t="str">
        <x:v>A</x:v>
      </x:c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80" hidden="0" customHeight="1">
      <x:c r="A5" s="28" t="str">
        <x:v>M02</x:v>
      </x:c>
      <x:c r="B5" s="21" t="str">
        <x:v>MOST / photoswitch</x:v>
      </x:c>
      <x:c r="C5" s="21" t="str">
        <x:v>photoswitch active-search repository</x:v>
      </x:c>
      <x:c r="D5" s="21" t="str">
        <x:v>Перечень кандидатов + код активного поиска</x:v>
      </x:c>
      <x:c r="E5" s="21" t="str">
        <x:v>Комбинаторная библиотека 255 991 azo-кандидатов; начальный набор около 198 молекул</x:v>
      </x:c>
      <x:c r="F5" s="21" t="str">
        <x:v>Молекулярные строки; входные обучающие данные; скрипты квантовых расчётов и активного поиска</x:v>
      </x:c>
      <x:c r="G5" s="21" t="str">
        <x:v>Виртуальная библиотека + расчётный workflow</x:v>
      </x:c>
      <x:c r="H5" s="21" t="str">
        <x:v>TXT/CSV + Python/Matlab</x:v>
      </x:c>
      <x:c r="I5" s="21" t="str">
        <x:v>Да</x:v>
      </x:c>
      <x:c r="J5" s="21" t="str">
        <x:v>Не удалось однозначно подтвердить — проверить перед перераспределением</x:v>
      </x:c>
      <x:c r="K5" s="21" t="str">
        <x:v>https://github.com/KrisNguyen135/photoswitch</x:v>
      </x:c>
      <x:c r="L5" s="21" t="str">
        <x:v>git clone https://github.com/KrisNguyen135/photoswitch.git</x:v>
      </x:c>
      <x:c r="M5" s="21" t="str">
        <x:v>Бенчмарк генерации/активного поиска и пример построения большого виртуального пространства</x:v>
      </x:c>
      <x:c r="N5" s="21" t="str">
        <x:v>255 991 — кандидаты, а не равномерно размеченные экспериментальные молекулы; часть workflow требует Gaussian 16/HPC</x:v>
      </x:c>
      <x:c r="O5" s="28" t="str">
        <x:v>P1</x:v>
      </x:c>
      <x:c r="P5" s="28" t="str">
        <x:v>A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92" hidden="0" customHeight="1">
      <x:c r="A6" s="27" t="str">
        <x:v>M03</x:v>
      </x:c>
      <x:c r="B6" s="22" t="str">
        <x:v>MOST / photoswitch</x:v>
      </x:c>
      <x:c r="C6" s="22" t="str">
        <x:v>Dewar pyrimidone MOST dataset</x:v>
      </x:c>
      <x:c r="D6" s="22" t="str">
        <x:v>Сырые экспериментальные данные к статье</x:v>
      </x:c>
      <x:c r="E6" s="22" t="str">
        <x:v>13 CSV; несколько пиримидонов/изомеров; раствор и тонкая плёнка</x:v>
      </x:c>
      <x:c r="F6" s="22" t="str">
        <x:v>Полные UV–Vis кривые; плёнка; cycling; кинетика quantum yield; thermal reversion; DSC/TGA; energy density; IR heat release</x:v>
      </x:c>
      <x:c r="G6" s="22" t="str">
        <x:v>Эксперимент</x:v>
      </x:c>
      <x:c r="H6" s="22" t="str">
        <x:v>CSV</x:v>
      </x:c>
      <x:c r="I6" s="22" t="str">
        <x:v>Да</x:v>
      </x:c>
      <x:c r="J6" s="22" t="str">
        <x:v>Условия записи Dryad; проверить поле лицензии при выгрузке</x:v>
      </x:c>
      <x:c r="K6" s="22" t="str">
        <x:v>https://datadryad.org/dataset/doi:10.5061/dryad.rxwdbrvqg</x:v>
      </x:c>
      <x:c r="L6" s="22" t="str">
        <x:v>На странице Dryad выбрать Download dataset либо скачать 13 файлов по отдельности</x:v>
      </x:c>
      <x:c r="M6" s="22" t="str">
        <x:v>Редкий открытый мини-бенчмарк, одновременно связывающий фотохимию, плёнку и фактическое выделение тепла</x:v>
      </x:c>
      <x:c r="N6" s="22" t="str">
        <x:v>Очень мало химических структур; пригоден для валидации протокола и физической интерпретации, не для обучения большого генератора</x:v>
      </x:c>
      <x:c r="O6" s="27" t="str">
        <x:v>P0</x:v>
      </x:c>
      <x:c r="P6" s="27" t="str">
        <x:v>A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6" hidden="0" customHeight="1">
      <x:c r="A7" s="28" t="str">
        <x:v>M04</x:v>
      </x:c>
      <x:c r="B7" s="21" t="str">
        <x:v>MOST / photoswitch</x:v>
      </x:c>
      <x:c r="C7" s="21" t="str">
        <x:v>Triplet-sensitized high-energy-density NBD raw data</x:v>
      </x:c>
      <x:c r="D7" s="21" t="str">
        <x:v>Институциональный репозиторий сырых данных</x:v>
      </x:c>
      <x:c r="E7" s="21" t="str">
        <x:v>2 ZIP: 0.9 MB и 337.7 MB</x:v>
      </x:c>
      <x:c r="F7" s="21" t="str">
        <x:v>Спектроскопия; облучение; фотоконверсия; квантово-химические материалы для NBD/QC с сенсибилизаторами</x:v>
      </x:c>
      <x:c r="G7" s="21" t="str">
        <x:v>Эксперимент + расчёт</x:v>
      </x:c>
      <x:c r="H7" s="21" t="str">
        <x:v>ZIP; внутренние форматы экспериментов/расчётов</x:v>
      </x:c>
      <x:c r="I7" s="21" t="str">
        <x:v>Да</x:v>
      </x:c>
      <x:c r="J7" s="21" t="str">
        <x:v>CC BY 4.0</x:v>
      </x:c>
      <x:c r="K7" s="21" t="str">
        <x:v>https://openscience.ub.uni-mainz.de/items/aabbdfa0-bfe8-43e6-93a7-4a15115d7330</x:v>
      </x:c>
      <x:c r="L7" s="21" t="str">
        <x:v>Открыть запись и скачать оба ZIP из раздела Files</x:v>
      </x:c>
      <x:c r="M7" s="21" t="str">
        <x:v>Глубокий NBD/QC-кейс для спектров, механизма и проверки извлечения метрик из raw data</x:v>
      </x:c>
      <x:c r="N7" s="21" t="str">
        <x:v>Небольшое число соединений; требуется ручная стандартизация и чтение статьи DOI 10.1002/anie.202414733</x:v>
      </x:c>
      <x:c r="O7" s="28" t="str">
        <x:v>P0</x:v>
      </x:c>
      <x:c r="P7" s="28" t="str">
        <x:v>A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44" hidden="0" customHeight="1">
      <x:c r="A8" s="27" t="str">
        <x:v>M05</x:v>
      </x:c>
      <x:c r="B8" s="22" t="str">
        <x:v>MOST / photoswitch</x:v>
      </x:c>
      <x:c r="C8" s="22" t="str">
        <x:v>Spiropyran MOST UV–Vis dataset</x:v>
      </x:c>
      <x:c r="D8" s="22" t="str">
        <x:v>Открытая тематическая запись Zenodo</x:v>
      </x:c>
      <x:c r="E8" s="22" t="str">
        <x:v>data.zip около 0.5 MB</x:v>
      </x:c>
      <x:c r="F8" s="22" t="str">
        <x:v>UV–Vis данные фотоchromic spiropyran systems для MOST</x:v>
      </x:c>
      <x:c r="G8" s="22" t="str">
        <x:v>Эксперимент</x:v>
      </x:c>
      <x:c r="H8" s="22" t="str">
        <x:v>ZIP</x:v>
      </x:c>
      <x:c r="I8" s="22" t="str">
        <x:v>Да</x:v>
      </x:c>
      <x:c r="J8" s="22" t="str">
        <x:v>Проверить поле Rights в записи Zenodo</x:v>
      </x:c>
      <x:c r="K8" s="22" t="str">
        <x:v>https://zenodo.org/records/19542255</x:v>
      </x:c>
      <x:c r="L8" s="22" t="str">
        <x:v>Нажать Download в карточке data.zip; для автоматизации запросить https://zenodo.org/api/records/19542255</x:v>
      </x:c>
      <x:c r="M8" s="22" t="str">
        <x:v>Расширение за пределы NBD/azo и проверка переносимости на spiropyran</x:v>
      </x:c>
      <x:c r="N8" s="22" t="str">
        <x:v>Новый и небольшой набор; состав и метаданные следует верифицировать до обучения</x:v>
      </x:c>
      <x:c r="O8" s="27" t="str">
        <x:v>P1</x:v>
      </x:c>
      <x:c r="P8" s="27" t="str">
        <x:v>A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20" hidden="0" customHeight="1">
      <x:c r="A9" s="28" t="str">
        <x:v>M06</x:v>
      </x:c>
      <x:c r="B9" s="21" t="str">
        <x:v>MOST / photoswitch</x:v>
      </x:c>
      <x:c r="C9" s="21" t="str">
        <x:v>Iminothioindoxyl photoswitch data</x:v>
      </x:c>
      <x:c r="D9" s="21" t="str">
        <x:v>Сырые данные к Chemical Science</x:v>
      </x:c>
      <x:c r="E9" s="21" t="str">
        <x:v>2 ZIP: около 166.7 MB и 12.8 MB</x:v>
      </x:c>
      <x:c r="F9" s="21" t="str">
        <x:v>Экспериментальные и теоретические данные; thermal half-life и фотопереключение ITI</x:v>
      </x:c>
      <x:c r="G9" s="21" t="str">
        <x:v>Эксперимент + расчёт</x:v>
      </x:c>
      <x:c r="H9" s="21" t="str">
        <x:v>ZIP</x:v>
      </x:c>
      <x:c r="I9" s="21" t="str">
        <x:v>Да</x:v>
      </x:c>
      <x:c r="J9" s="21" t="str">
        <x:v>Проверить поле Rights в записи Zenodo</x:v>
      </x:c>
      <x:c r="K9" s="21" t="str">
        <x:v>https://zenodo.org/records/14844717</x:v>
      </x:c>
      <x:c r="L9" s="21" t="str">
        <x:v>Нажать Download all/Download у отдельных ZIP; API: https://zenodo.org/api/records/14844717</x:v>
      </x:c>
      <x:c r="M9" s="21" t="str">
        <x:v>Родственный photoswitch-класс для оценки class-shift и кинетических моделей</x:v>
      </x:c>
      <x:c r="N9" s="21" t="str">
        <x:v>Не MOST-энергетическая база и не данные о коже</x:v>
      </x:c>
      <x:c r="O9" s="28" t="str">
        <x:v>P1</x:v>
      </x:c>
      <x:c r="P9" s="28" t="str">
        <x:v>A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20" hidden="0" customHeight="1">
      <x:c r="A10" s="27" t="str">
        <x:v>M07</x:v>
      </x:c>
      <x:c r="B10" s="22" t="str">
        <x:v>MOST / photoswitch</x:v>
      </x:c>
      <x:c r="C10" s="22" t="str">
        <x:v>NBD nonadiabatic trajectories</x:v>
      </x:c>
      <x:c r="D10" s="22" t="str">
        <x:v>Молекулярно-динамические траектории</x:v>
      </x:c>
      <x:c r="E10" s="22" t="str">
        <x:v>simulated_trajectories.tgz около 58.9 MB; репрезентативный NBD</x:v>
      </x:c>
      <x:c r="F10" s="22" t="str">
        <x:v>Неадиабатическая динамика возбуждённого состояния и пути фотопревращения</x:v>
      </x:c>
      <x:c r="G10" s="22" t="str">
        <x:v>Расчёт</x:v>
      </x:c>
      <x:c r="H10" s="22" t="str">
        <x:v>TGZ</x:v>
      </x:c>
      <x:c r="I10" s="22" t="str">
        <x:v>Да</x:v>
      </x:c>
      <x:c r="J10" s="22" t="str">
        <x:v>Проверить поле Rights в Zenodo</x:v>
      </x:c>
      <x:c r="K10" s="22" t="str">
        <x:v>https://zenodo.org/records/14881708</x:v>
      </x:c>
      <x:c r="L10" s="22" t="str">
        <x:v>Скачать simulated_trajectories.tgz из Zenodo; API записи доступен по /api/records/14881708</x:v>
      </x:c>
      <x:c r="M10" s="22" t="str">
        <x:v>Механистическая проверка и разработка дескрипторов excited-state dynamics</x:v>
      </x:c>
      <x:c r="N10" s="22" t="str">
        <x:v>Одна/немногие системы; не табличный набор для генеративного обучения</x:v>
      </x:c>
      <x:c r="O10" s="27" t="str">
        <x:v>P2</x:v>
      </x:c>
      <x:c r="P10" s="27" t="str">
        <x:v>A</x:v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68" hidden="0" customHeight="1">
      <x:c r="A11" s="28" t="str">
        <x:v>M08</x:v>
      </x:c>
      <x:c r="B11" s="21" t="str">
        <x:v>MOST / NBD-QC literature-only</x:v>
      </x:c>
      <x:c r="C11" s="21" t="str">
        <x:v>High-throughput screening of 3 230 NBD/QC</x:v>
      </x:c>
      <x:c r="D11" s="21" t="str">
        <x:v>Статья + Supporting Information</x:v>
      </x:c>
      <x:c r="E11" s="21" t="str">
        <x:v>3 230 производных NBD/QC</x:v>
      </x:c>
      <x:c r="F11" s="21" t="str">
        <x:v>Рассчитанные storage energies, thermal barriers и solar absorption; xTB/DFT calibration</x:v>
      </x:c>
      <x:c r="G11" s="21" t="str">
        <x:v>Расчёт</x:v>
      </x:c>
      <x:c r="H11" s="21" t="str">
        <x:v>Статья/SI PDF; открытая полная строковая матрица не найдена</x:v>
      </x:c>
      <x:c r="I11" s="21" t="str">
        <x:v>Нет подтверждённой полной выгрузки</x:v>
      </x:c>
      <x:c r="J11" s="21" t="str">
        <x:v>Зависит от статьи/SI</x:v>
      </x:c>
      <x:c r="K11" s="21" t="str">
        <x:v>https://pubs.rsc.org/en/content/articlehtml/2022/cp/d2cp03032b</x:v>
      </x:c>
      <x:c r="L11" s="21" t="str">
        <x:v>Скачать SI со страницы статьи; для полной матрицы запросить авторов или воспроизвести опубликованный pipeline</x:v>
      </x:c>
      <x:c r="M11" s="21" t="str">
        <x:v>Ключевой шаблон NBD/QC-дескрипторов и многоступенчатого computational screening</x:v>
      </x:c>
      <x:c r="N11" s="21" t="str">
        <x:v>Нельзя представлять 3 230 как открытую ML-базу без получения фактических строк</x:v>
      </x:c>
      <x:c r="O11" s="28" t="str">
        <x:v>P0-literature</x:v>
      </x:c>
      <x:c r="P11" s="28" t="str">
        <x:v>C</x:v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80" hidden="0" customHeight="1">
      <x:c r="A12" s="27" t="str">
        <x:v>M09</x:v>
      </x:c>
      <x:c r="B12" s="22" t="str">
        <x:v>MOST / NBD-QC literature-only</x:v>
      </x:c>
      <x:c r="C12" s="22" t="str">
        <x:v>Virtual screening of nearly 34 000 NBD/QC</x:v>
      </x:c>
      <x:c r="D12" s="22" t="str">
        <x:v>Статья / ChemRxiv</x:v>
      </x:c>
      <x:c r="E12" s="22" t="str">
        <x:v>Около 34 000 расчётно размеченных кандидатов; отбор 15</x:v>
      </x:c>
      <x:c r="F12" s="22" t="str">
        <x:v>Semiempirical energy/barrier/absorption labels; GCN + genetic algorithm</x:v>
      </x:c>
      <x:c r="G12" s="22" t="str">
        <x:v>Расчёт</x:v>
      </x:c>
      <x:c r="H12" s="22" t="str">
        <x:v>Статья/SI; публичный bulk-repository не найден</x:v>
      </x:c>
      <x:c r="I12" s="22" t="str">
        <x:v>Не подтверждён</x:v>
      </x:c>
      <x:c r="J12" s="22" t="str">
        <x:v>Зависит от версии статьи/SI</x:v>
      </x:c>
      <x:c r="K12" s="22" t="str">
        <x:v>https://doi.org/10.1063/5.0063694</x:v>
      </x:c>
      <x:c r="L12" s="22" t="str">
        <x:v>Проверить Supplementary Material и ChemRxiv; при отсутствии — запросить таблицу у авторов или воспроизвести генерацию</x:v>
      </x:c>
      <x:c r="M12" s="22" t="str">
        <x:v>Ближайший пример ML+GA для NBD/QC</x:v>
      </x:c>
      <x:c r="N12" s="22" t="str">
        <x:v>Размер пространства поиска не равен открытому датасету; semiempirical смещения требуют калибровки</x:v>
      </x:c>
      <x:c r="O12" s="27" t="str">
        <x:v>P0-literature</x:v>
      </x:c>
      <x:c r="P12" s="27" t="str">
        <x:v>C</x:v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32" hidden="0" customHeight="1">
      <x:c r="A13" s="28" t="str">
        <x:v>M10</x:v>
      </x:c>
      <x:c r="B13" s="21" t="str">
        <x:v>MOST / literature-only</x:v>
      </x:c>
      <x:c r="C13" s="21" t="str">
        <x:v>Screening of ~466 000 bicyclic dienes</x:v>
      </x:c>
      <x:c r="D13" s="21" t="str">
        <x:v>Статья Angewandte + SI</x:v>
      </x:c>
      <x:c r="E13" s="21" t="str">
        <x:v>Около 466 000 виртуальных бициклических диенов</x:v>
      </x:c>
      <x:c r="F13" s="21" t="str">
        <x:v>Расчётные показатели energy storage, barrier и absorption; top candidates</x:v>
      </x:c>
      <x:c r="G13" s="21" t="str">
        <x:v>Расчёт</x:v>
      </x:c>
      <x:c r="H13" s="21" t="str">
        <x:v>Статья/SI PDF; полной машинно-читаемой матрицы не обнаружено</x:v>
      </x:c>
      <x:c r="I13" s="21" t="str">
        <x:v>Не подтверждён</x:v>
      </x:c>
      <x:c r="J13" s="21" t="str">
        <x:v>Условия Wiley/SI</x:v>
      </x:c>
      <x:c r="K13" s="21" t="str">
        <x:v>https://doi.org/10.1002/anie.202309543</x:v>
      </x:c>
      <x:c r="L13" s="21" t="str">
        <x:v>Скачать Supporting Information; полный набор запросить у авторов/воспроизвести согласно Methods</x:v>
      </x:c>
      <x:c r="M13" s="21" t="str">
        <x:v>Расширение химического пространства MOST за пределы NBD/QC</x:v>
      </x:c>
      <x:c r="N13" s="21" t="str">
        <x:v>Нельзя использовать заявленные 466k как готовый открытый датасет без строк и provenance</x:v>
      </x:c>
      <x:c r="O13" s="28" t="str">
        <x:v>P1-literature</x:v>
      </x:c>
      <x:c r="P13" s="28" t="str">
        <x:v>C</x:v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6" hidden="0" customHeight="1">
      <x:c r="A14" s="27" t="str">
        <x:v>M11</x:v>
      </x:c>
      <x:c r="B14" s="22" t="str">
        <x:v>Spectral auxiliary</x:v>
      </x:c>
      <x:c r="C14" s="22" t="str">
        <x:v>Deep4Chem experimental optical database</x:v>
      </x:c>
      <x:c r="D14" s="22" t="str">
        <x:v>Курируемая спектральная база</x:v>
      </x:c>
      <x:c r="E14" s="22" t="str">
        <x:v>Около 20 236 chromophore–environment combinations; 7 016 chromophores; 365 solvents; 17 solid matrices/states</x:v>
      </x:c>
      <x:c r="F14" s="22" t="str">
        <x:v>λabs,max; λem,max; extinction coefficient; bandwidth; fluorescence QY; lifetime; solvent/solid matrix; DOI; SMILES</x:v>
      </x:c>
      <x:c r="G14" s="22" t="str">
        <x:v>Эксперимент</x:v>
      </x:c>
      <x:c r="H14" s="22" t="str">
        <x:v>CSV</x:v>
      </x:c>
      <x:c r="I14" s="22" t="str">
        <x:v>Да</x:v>
      </x:c>
      <x:c r="J14" s="22" t="str">
        <x:v>CC BY 4.0</x:v>
      </x:c>
      <x:c r="K14" s="22" t="str">
        <x:v>https://figshare.com/articles/dataset/DB_for_chromophore/12045567</x:v>
      </x:c>
      <x:c r="L14" s="22" t="str">
        <x:v>На Figshare открыть последнюю версию и нажать Download; сохранить номер версии и checksum</x:v>
      </x:c>
      <x:c r="M14" s="22" t="str">
        <x:v>Главный auxiliary-набор для спектрального transfer learning и учёта среды/твёрдой матрицы</x:v>
      </x:c>
      <x:c r="N14" s="22" t="str">
        <x:v>Fluorescence QY не равен photoisomerization QY; максимум поглощения не заменяет полный спектр; не MOST/skin labels</x:v>
      </x:c>
      <x:c r="O14" s="27" t="str">
        <x:v>P0</x:v>
      </x:c>
      <x:c r="P14" s="27" t="str">
        <x:v>A</x:v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6" hidden="0" customHeight="1">
      <x:c r="A15" s="28" t="str">
        <x:v>M12</x:v>
      </x:c>
      <x:c r="B15" s="21" t="str">
        <x:v>Spectral auxiliary</x:v>
      </x:c>
      <x:c r="C15" s="21" t="str">
        <x:v>Comparative experimental/computational UV–Vis dataset</x:v>
      </x:c>
      <x:c r="D15" s="21" t="str">
        <x:v>Экспериментально-расчётный спектральный набор</x:v>
      </x:c>
      <x:c r="E15" s="21" t="str">
        <x:v>8 488 исходных соединений; 7 726 валидных experimental λmax; архив около 370 MB</x:v>
      </x:c>
      <x:c r="F15" s="21" t="str">
        <x:v>Структуры; experimental UV–Vis λmax; computed attributes; PRISTINE subset</x:v>
      </x:c>
      <x:c r="G15" s="21" t="str">
        <x:v>Эксперимент + расчёт</x:v>
      </x:c>
      <x:c r="H15" s="21" t="str">
        <x:v>Архив/таблицы</x:v>
      </x:c>
      <x:c r="I15" s="21" t="str">
        <x:v>Да</x:v>
      </x:c>
      <x:c r="J15" s="21" t="str">
        <x:v>CC BY 4.0</x:v>
      </x:c>
      <x:c r="K15" s="21" t="str">
        <x:v>https://figshare.com/articles/dataset/Comparative_dataset_of_experimental_and_computational_attributes_of_UV_vis_absorption_spectra/7619672</x:v>
      </x:c>
      <x:c r="L15" s="21" t="str">
        <x:v>Нажать Download all на Figshare; для экспериментального таргета отфильтровать PRISTINE</x:v>
      </x:c>
      <x:c r="M15" s="21" t="str">
        <x:v>Калибровка predicted absorption к экспериментальному λmax</x:v>
      </x:c>
      <x:c r="N15" s="21" t="str">
        <x:v>Не полные спектры для всех молекул; неоднородные растворители/условия; нет переключения, энергии и кожи</x:v>
      </x:c>
      <x:c r="O15" s="28" t="str">
        <x:v>P0</x:v>
      </x:c>
      <x:c r="P15" s="28" t="str">
        <x:v>A</x:v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32" hidden="0" customHeight="1">
      <x:c r="A16" s="27" t="str">
        <x:v>M13</x:v>
      </x:c>
      <x:c r="B16" s="22" t="str">
        <x:v>Spectral auxiliary</x:v>
      </x:c>
      <x:c r="C16" s="22" t="str">
        <x:v>uvvisml unified repository</x:v>
      </x:c>
      <x:c r="D16" s="22" t="str">
        <x:v>Унифицированные бенчмарки и сплиты</x:v>
      </x:c>
      <x:c r="E16" s="22" t="str">
        <x:v>Стандартизованные наборы Deep4Chem, ChemDataExtractor, ChemFluor, DyeAgg, DSSCDB и TD-DFT</x:v>
      </x:c>
      <x:c r="F16" s="22" t="str">
        <x:v>Спектральные свойства, структуры, train/validation/test splits</x:v>
      </x:c>
      <x:c r="G16" s="22" t="str">
        <x:v>Эксперимент + расчёт</x:v>
      </x:c>
      <x:c r="H16" s="22" t="str">
        <x:v>Файлы данных + код</x:v>
      </x:c>
      <x:c r="I16" s="22" t="str">
        <x:v>Да</x:v>
      </x:c>
      <x:c r="J16" s="22" t="str">
        <x:v>Проверить LICENSE репозитория и лицензии исходных наборов</x:v>
      </x:c>
      <x:c r="K16" s="22" t="str">
        <x:v>https://github.com/learningmatter-mit/uvvisml</x:v>
      </x:c>
      <x:c r="L16" s="22" t="str">
        <x:v>git clone https://github.com/learningmatter-mit/uvvisml.git</x:v>
      </x:c>
      <x:c r="M16" s="22" t="str">
        <x:v>Быстрый старт с уже гармонизированными спектральными бенчмарками</x:v>
      </x:c>
      <x:c r="N16" s="22" t="str">
        <x:v>Унификация не отменяет различий исходных условий; аудит происхождения обязателен</x:v>
      </x:c>
      <x:c r="O16" s="27" t="str">
        <x:v>P0</x:v>
      </x:c>
      <x:c r="P16" s="27" t="str">
        <x:v>A</x:v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92" hidden="0" customHeight="1">
      <x:c r="A17" s="28" t="str">
        <x:v>M14</x:v>
      </x:c>
      <x:c r="B17" s="21" t="str">
        <x:v>Spectral auxiliary</x:v>
      </x:c>
      <x:c r="C17" s="21" t="str">
        <x:v>PhotoChemCAD databases</x:v>
      </x:c>
      <x:c r="D17" s="21" t="str">
        <x:v>Спектральное ПО и встроенные базы</x:v>
      </x:c>
      <x:c r="E17" s="21" t="str">
        <x:v>Common Compounds Database &gt;300 соединений; дополнительные porphyrin/chlorophyll collections</x:v>
      </x:c>
      <x:c r="F17" s="21" t="str">
        <x:v>Полные absorption/fluorescence spectra и molar absorptivity для части соединений</x:v>
      </x:c>
      <x:c r="G17" s="21" t="str">
        <x:v>Эксперимент</x:v>
      </x:c>
      <x:c r="H17" s="21" t="str">
        <x:v>Собственный .db через Windows application</x:v>
      </x:c>
      <x:c r="I17" s="21" t="str">
        <x:v>Частично</x:v>
      </x:c>
      <x:c r="J17" s="21" t="str">
        <x:v>Условия сайта/ПО</x:v>
      </x:c>
      <x:c r="K17" s="21" t="str">
        <x:v>https://www.photochemcad.com/download</x:v>
      </x:c>
      <x:c r="L17" s="21" t="str">
        <x:v>Скачать PhotoChemCAD 3.1, распаковать, запустить; File → Open → Database → Common Compounds DB.db; экспортировать нужные записи</x:v>
      </x:c>
      <x:c r="M17" s="21" t="str">
        <x:v>Небольшой источник полных спектров и ε для спектральной проверки</x:v>
      </x:c>
      <x:c r="N17" s="21" t="str">
        <x:v>Не готовый ML CSV; структуры/идентификаторы требуют сопоставления; ограниченный охват</x:v>
      </x:c>
      <x:c r="O17" s="28" t="str">
        <x:v>P1</x:v>
      </x:c>
      <x:c r="P17" s="28" t="str">
        <x:v>B</x:v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92" hidden="0" customHeight="1">
      <x:c r="A18" s="27" t="str">
        <x:v>M15</x:v>
      </x:c>
      <x:c r="B18" s="22" t="str">
        <x:v>Quantum auxiliary</x:v>
      </x:c>
      <x:c r="C18" s="22" t="str">
        <x:v>QCDGE</x:v>
      </x:c>
      <x:c r="D18" s="22" t="str">
        <x:v>Большая квантово-химическая база возбуждённых состояний</x:v>
      </x:c>
      <x:c r="E18" s="22" t="str">
        <x:v>443 106 малых C/N/O/F молекул, до 10 тяжёлых атомов</x:v>
      </x:c>
      <x:c r="F18" s="22" t="str">
        <x:v>27 ground/excited-state properties; TD-DFT excitation energies и oscillator strengths</x:v>
      </x:c>
      <x:c r="G18" s="22" t="str">
        <x:v>Расчёт</x:v>
      </x:c>
      <x:c r="H18" s="22" t="str">
        <x:v>CSV/HDF5</x:v>
      </x:c>
      <x:c r="I18" s="22" t="str">
        <x:v>Да</x:v>
      </x:c>
      <x:c r="J18" s="22" t="str">
        <x:v>Проверить условия страницы данных</x:v>
      </x:c>
      <x:c r="K18" s="22" t="str">
        <x:v>https://langroup.site/QCDGE/</x:v>
      </x:c>
      <x:c r="L18" s="22" t="str">
        <x:v>Скачать final_all.csv или final_all.hdf5 с download.langroup.site; проверить SHA512SUM; использовать extract_data.py</x:v>
      </x:c>
      <x:c r="M18" s="22" t="str">
        <x:v>Pretraining/representation learning для excited-state свойств</x:v>
      </x:c>
      <x:c r="N18" s="22" t="str">
        <x:v>Слишком малые молекулы и ограниченные элементы по сравнению с реальными UV-фильтрами/NBD; не application labels</x:v>
      </x:c>
      <x:c r="O18" s="27" t="str">
        <x:v>P1</x:v>
      </x:c>
      <x:c r="P18" s="27" t="str">
        <x:v>A</x:v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20" hidden="0" customHeight="1">
      <x:c r="A19" s="28" t="str">
        <x:v>M16</x:v>
      </x:c>
      <x:c r="B19" s="21" t="str">
        <x:v>Quantum auxiliary</x:v>
      </x:c>
      <x:c r="C19" s="21" t="str">
        <x:v>QUESTDB</x:v>
      </x:c>
      <x:c r="D19" s="21" t="str">
        <x:v>Высокоточный benchmark vertical excitations</x:v>
      </x:c>
      <x:c r="E19" s="21" t="str">
        <x:v>Архив около 44 MB; curated reference excitations для небольших/средних молекул</x:v>
      </x:c>
      <x:c r="F19" s="21" t="str">
        <x:v>Vertical excitation energies; oscillator strengths; geometries; method metadata</x:v>
      </x:c>
      <x:c r="G19" s="21" t="str">
        <x:v>Расчёт высокого уровня</x:v>
      </x:c>
      <x:c r="H19" s="21" t="str">
        <x:v>TAR/JSON/XLSX + структуры</x:v>
      </x:c>
      <x:c r="I19" s="21" t="str">
        <x:v>Да</x:v>
      </x:c>
      <x:c r="J19" s="21" t="str">
        <x:v>CC BY-SA 4.0 (GitHub)</x:v>
      </x:c>
      <x:c r="K19" s="21" t="str">
        <x:v>https://github.com/pfloos/QUESTDB</x:v>
      </x:c>
      <x:c r="L19" s="21" t="str">
        <x:v>git clone https://github.com/pfloos/QUESTDB.git; архив также: https://zenodo.org/records/15671385</x:v>
      </x:c>
      <x:c r="M19" s="21" t="str">
        <x:v>Калибровка квантовых методов/эмулаторов возбуждённых состояний</x:v>
      </x:c>
      <x:c r="N19" s="21" t="str">
        <x:v>Не MOST и не кожа; химический размер и coverage ограничены</x:v>
      </x:c>
      <x:c r="O19" s="28" t="str">
        <x:v>P1</x:v>
      </x:c>
      <x:c r="P19" s="28" t="str">
        <x:v>A</x:v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80" hidden="0" customHeight="1">
      <x:c r="A20" s="27" t="str">
        <x:v>M17</x:v>
      </x:c>
      <x:c r="B20" s="22" t="str">
        <x:v>Quantum auxiliary</x:v>
      </x:c>
      <x:c r="C20" s="22" t="str">
        <x:v>PubChemQC B3LYP/PM6</x:v>
      </x:c>
      <x:c r="D20" s="22" t="str">
        <x:v>Масштабная квантово-химическая база</x:v>
      </x:c>
      <x:c r="E20" s="22" t="str">
        <x:v>Порядка 86 млн молекул; полный объём десятки TB</x:v>
      </x:c>
      <x:c r="F20" s="22" t="str">
        <x:v>Ground-state quantum chemistry, структуры, электронные свойства; готовые поднаборы</x:v>
      </x:c>
      <x:c r="G20" s="22" t="str">
        <x:v>Расчёт</x:v>
      </x:c>
      <x:c r="H20" s="22" t="str">
        <x:v>JSON/GAMESS/database archives</x:v>
      </x:c>
      <x:c r="I20" s="22" t="str">
        <x:v>Да, очень большой</x:v>
      </x:c>
      <x:c r="J20" s="22" t="str">
        <x:v>CC BY 4.0</x:v>
      </x:c>
      <x:c r="K20" s="22" t="str">
        <x:v>https://nakatamaho.riken.jp/pubchemqc.riken.jp/b3lyp_pm6_datasets.html</x:v>
      </x:c>
      <x:c r="L20" s="22" t="str">
        <x:v>Следовать приведённым на странице wget/sha256/tar инструкциям; начинать с тематического поднабора, а не с полного корпуса</x:v>
      </x:c>
      <x:c r="M20" s="22" t="str">
        <x:v>Общее molecular pretraining и lookup расчётных ground-state свойств</x:v>
      </x:c>
      <x:c r="N20" s="22" t="str">
        <x:v>Не прямой таргет MOST/UV safety; полный набор практически избыточен для диссертации без HPC/storage</x:v>
      </x:c>
      <x:c r="O20" s="27" t="str">
        <x:v>P2</x:v>
      </x:c>
      <x:c r="P20" s="27" t="str">
        <x:v>A</x:v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20" hidden="0" customHeight="1">
      <x:c r="A21" s="28" t="str">
        <x:v>M18</x:v>
      </x:c>
      <x:c r="B21" s="21" t="str">
        <x:v>Quantum auxiliary</x:v>
      </x:c>
      <x:c r="C21" s="21" t="str">
        <x:v>ORNL_AISD-Ex</x:v>
      </x:c>
      <x:c r="D21" s="21" t="str">
        <x:v>Большая база TD-DFTB возбуждений</x:v>
      </x:c>
      <x:c r="E21" s="21" t="str">
        <x:v>&gt;10.5 млн органических молекул; &gt;283 GB распаковано</x:v>
      </x:c>
      <x:c r="F21" s="21" t="str">
        <x:v>Excitation energies и oscillator strengths TD-DFTB</x:v>
      </x:c>
      <x:c r="G21" s="21" t="str">
        <x:v>Расчёт</x:v>
      </x:c>
      <x:c r="H21" s="21" t="str">
        <x:v>1001 tar.gz через Globus</x:v>
      </x:c>
      <x:c r="I21" s="21" t="str">
        <x:v>Да, HPC-scale</x:v>
      </x:c>
      <x:c r="J21" s="21" t="str">
        <x:v>Условия ORNL DOI record</x:v>
      </x:c>
      <x:c r="K21" s="21" t="str">
        <x:v>https://doi.ccs.ornl.gov/dataset/13423cfb-df80-541c-a3d9-a2f042fbe507</x:v>
      </x:c>
      <x:c r="L21" s="21" t="str">
        <x:v>Использовать Globus endpoint из записи; скачать выбранные шарды</x:v>
      </x:c>
      <x:c r="M21" s="21" t="str">
        <x:v>Массовое предобучение excited-state модели при наличии ресурсов</x:v>
      </x:c>
      <x:c r="N21" s="21" t="str">
        <x:v>Высокая цена хранения/обработки; TD-DFTB bias; отсутствуют MOST/skin labels</x:v>
      </x:c>
      <x:c r="O21" s="28" t="str">
        <x:v>P2</x:v>
      </x:c>
      <x:c r="P21" s="28" t="str">
        <x:v>A</x:v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312" hidden="0" customHeight="1">
      <x:c r="A22" s="27" t="str">
        <x:v>U01</x:v>
      </x:c>
      <x:c r="B22" s="22" t="str">
        <x:v>UV filters / regulation</x:v>
      </x:c>
      <x:c r="C22" s="22" t="str">
        <x:v>EU CosIng + Annex VI</x:v>
      </x:c>
      <x:c r="D22" s="22" t="str">
        <x:v>Официальная регуляторная поисковая база</x:v>
      </x:c>
      <x:c r="E22" s="22" t="str">
        <x:v>Разрешённые в ЕС UV-фильтры, INCI/CAS/EC, ограничения и исторические записи</x:v>
      </x:c>
      <x:c r="F22" s="22" t="str">
        <x:v>Function/status; Annex VI entry; максимальная концентрация и условия применения</x:v>
      </x:c>
      <x:c r="G22" s="22" t="str">
        <x:v>Регуляторные сведения</x:v>
      </x:c>
      <x:c r="H22" s="22" t="str">
        <x:v>Web; экспорт интерфейса/документы EUR-Lex</x:v>
      </x:c>
      <x:c r="I22" s="22" t="str">
        <x:v>Частично</x:v>
      </x:c>
      <x:c r="J22" s="22" t="str">
        <x:v>EU reuse/legal terms; правовой первоисточник — Regulation 1223/2009</x:v>
      </x:c>
      <x:c r="K22" s="22" t="str">
        <x:v>https://ec.europa.eu/growth/tools-databases/cosing/</x:v>
      </x:c>
      <x:c r="L22" s="22" t="str">
        <x:v>В CosIng: Advanced Search → Scope/UV filters → active → экспорт результатов, если доступен; для юридически актуальной версии выгрузить/распарсить Annex VI из консолидированного EUR-Lex: https://eur-lex.europa.eu/eli/reg/2009/1223/oj/eng</x:v>
      </x:c>
      <x:c r="M22" s="22" t="str">
        <x:v>Авторитетный seed-list UV-фильтров ЕС и ограничений</x:v>
      </x:c>
      <x:c r="N22" s="22" t="str">
        <x:v>CosIng информационный и не имеет самостоятельной юридической силы; это не спектральная/токсикологическая база и не доказательство безопасности любой формулы</x:v>
      </x:c>
      <x:c r="O22" s="27" t="str">
        <x:v>P0</x:v>
      </x:c>
      <x:c r="P22" s="27" t="str">
        <x:v>B</x:v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80" hidden="0" customHeight="1">
      <x:c r="A23" s="28" t="str">
        <x:v>U02</x:v>
      </x:c>
      <x:c r="B23" s="21" t="str">
        <x:v>UV filters / regulation</x:v>
      </x:c>
      <x:c r="C23" s="21" t="str">
        <x:v>cosing-kg</x:v>
      </x:c>
      <x:c r="D23" s="21" t="str">
        <x:v>Неофициальное структурированное зеркало CosIng</x:v>
      </x:c>
      <x:c r="E23" s="21" t="str">
        <x:v>24 094 ingredient rows + Annex II–VI; RDF knowledge graph</x:v>
      </x:c>
      <x:c r="F23" s="21" t="str">
        <x:v>INCI, CAS/EC, declared functions, annex restrictions, часть InChIKey mappings</x:v>
      </x:c>
      <x:c r="G23" s="21" t="str">
        <x:v>ETL/knowledge graph</x:v>
      </x:c>
      <x:c r="H23" s="21" t="str">
        <x:v>RDF + DVC/build code</x:v>
      </x:c>
      <x:c r="I23" s="21" t="str">
        <x:v>Да</x:v>
      </x:c>
      <x:c r="J23" s="21" t="str">
        <x:v>Проверить репозиторий и права на исходные данные</x:v>
      </x:c>
      <x:c r="K23" s="21" t="str">
        <x:v>https://github.com/biobricks-ai/cosing-kg</x:v>
      </x:c>
      <x:c r="L23" s="21" t="str">
        <x:v>git clone https://github.com/biobricks-ai/cosing-kg.git; выполнить инструкции biobricks/DVC</x:v>
      </x:c>
      <x:c r="M23" s="21" t="str">
        <x:v>Воспроизводимое структурирование CosIng для cheminformatics join</x:v>
      </x:c>
      <x:c r="N23" s="21" t="str">
        <x:v>Не юридический источник; только около четверти ingredient rows сопоставлены с InChIKey; версии могут отставать</x:v>
      </x:c>
      <x:c r="O23" s="28" t="str">
        <x:v>P1</x:v>
      </x:c>
      <x:c r="P23" s="28" t="str">
        <x:v>A</x:v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04" hidden="0" customHeight="1">
      <x:c r="A24" s="27" t="str">
        <x:v>U03</x:v>
      </x:c>
      <x:c r="B24" s="22" t="str">
        <x:v>UV filters / regulation</x:v>
      </x:c>
      <x:c r="C24" s="22" t="str">
        <x:v>FDA OTC Monograph M020 + administrative orders</x:v>
      </x:c>
      <x:c r="D24" s="22" t="str">
        <x:v>Официальная регуляторная норма США</x:v>
      </x:c>
      <x:c r="E24" s="22" t="str">
        <x:v>Разрешённые sunscreen active ingredients, концентрации, маркировка и тестовые условия</x:v>
      </x:c>
      <x:c r="F24" s="22" t="str">
        <x:v>Active ingredient; allowable concentration; dosage form/label/testing conditions; amendment history</x:v>
      </x:c>
      <x:c r="G24" s="22" t="str">
        <x:v>Регуляторные сведения</x:v>
      </x:c>
      <x:c r="H24" s="22" t="str">
        <x:v>PDF/HTML</x:v>
      </x:c>
      <x:c r="I24" s="22" t="str">
        <x:v>Небольшой список</x:v>
      </x:c>
      <x:c r="J24" s="22" t="str">
        <x:v>Материалы правительства США</x:v>
      </x:c>
      <x:c r="K24" s="22" t="str">
        <x:v>https://www.accessdata.fda.gov/scripts/cder/omuf/index.cfm</x:v>
      </x:c>
      <x:c r="L24" s="22" t="str">
        <x:v>В OTC Monographs@FDA открыть M020 и скачать current monograph/order PDFs; отдельно включить Final Administrative Order OTC000039 для bemotrizinol</x:v>
      </x:c>
      <x:c r="M24" s="22" t="str">
        <x:v>Официальный seed-list UV-активов США; источник допустимых концентраций</x:v>
      </x:c>
      <x:c r="N24" s="22" t="str">
        <x:v>Юрисдикционно специфичен; не индивидуальная экспериментальная таблица SPF/UVA-PF и не универсальный токсикологический label</x:v>
      </x:c>
      <x:c r="O24" s="27" t="str">
        <x:v>P0</x:v>
      </x:c>
      <x:c r="P24" s="27" t="str">
        <x:v>B</x:v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92" hidden="0" customHeight="1">
      <x:c r="A25" s="28" t="str">
        <x:v>U04</x:v>
      </x:c>
      <x:c r="B25" s="21" t="str">
        <x:v>UV filters / products</x:v>
      </x:c>
      <x:c r="C25" s="21" t="str">
        <x:v>openFDA Drug Label</x:v>
      </x:c>
      <x:c r="D25" s="21" t="str">
        <x:v>API и bulk labels лекарственных продуктов</x:v>
      </x:c>
      <x:c r="E25" s="21" t="str">
        <x:v>Маркировки OTC sunscreen и других drug products</x:v>
      </x:c>
      <x:c r="F25" s="21" t="str">
        <x:v>Active ingredients; inactive ingredients; SPF/uses/warnings/marketing metadata, когда указаны на label</x:v>
      </x:c>
      <x:c r="G25" s="21" t="str">
        <x:v>Product label evidence</x:v>
      </x:c>
      <x:c r="H25" s="21" t="str">
        <x:v>JSON bulk/API</x:v>
      </x:c>
      <x:c r="I25" s="21" t="str">
        <x:v>Да</x:v>
      </x:c>
      <x:c r="J25" s="21" t="str">
        <x:v>openFDA terms; проверять provenance поля</x:v>
      </x:c>
      <x:c r="K25" s="21" t="str">
        <x:v>https://open.fda.gov/apis/drug/label/download/</x:v>
      </x:c>
      <x:c r="L25" s="21" t="str">
        <x:v>Скачать Drug Label bulk JSON либо запросить API и фильтровать openfda.product_type/active_ingredient/indications; сохранить дату выгрузки</x:v>
      </x:c>
      <x:c r="M25" s="21" t="str">
        <x:v>Реальное присутствие UV-активов в продаваемых формулах и product-level SPF label</x:v>
      </x:c>
      <x:c r="N25" s="21" t="str">
        <x:v>OTC labels не означают предварительное одобрение каждой формулы FDA; label SPF не является независимым raw assay</x:v>
      </x:c>
      <x:c r="O25" s="28" t="str">
        <x:v>P0</x:v>
      </x:c>
      <x:c r="P25" s="28" t="str">
        <x:v>A</x:v>
      </x:c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32" hidden="0" customHeight="1">
      <x:c r="A26" s="27" t="str">
        <x:v>U05</x:v>
      </x:c>
      <x:c r="B26" s="22" t="str">
        <x:v>UV filters / products</x:v>
      </x:c>
      <x:c r="C26" s="22" t="str">
        <x:v>FDALabel</x:v>
      </x:c>
      <x:c r="D26" s="22" t="str">
        <x:v>Поисковый интерфейс структурированных FDA labels</x:v>
      </x:c>
      <x:c r="E26" s="22" t="str">
        <x:v>Drug labels, включая sunscreen products</x:v>
      </x:c>
      <x:c r="F26" s="22" t="str">
        <x:v>Product; active ingredients; strengths; SPL sections; label claims</x:v>
      </x:c>
      <x:c r="G26" s="22" t="str">
        <x:v>Product label evidence</x:v>
      </x:c>
      <x:c r="H26" s="22" t="str">
        <x:v>CSV/Excel export</x:v>
      </x:c>
      <x:c r="I26" s="22" t="str">
        <x:v>Да, результаты запроса</x:v>
      </x:c>
      <x:c r="J26" s="22" t="str">
        <x:v>FDA terms</x:v>
      </x:c>
      <x:c r="K26" s="22" t="str">
        <x:v>https://nctr-crs.fda.gov/fdalabel/ui/search</x:v>
      </x:c>
      <x:c r="L26" s="22" t="str">
        <x:v>Выполнить поиск Sunscreen/active ingredient → Download Full Results → CSV или Excel</x:v>
      </x:c>
      <x:c r="M26" s="22" t="str">
        <x:v>Удобная табличная выгрузка продуктовых записей без написания API-кода</x:v>
      </x:c>
      <x:c r="N26" s="22" t="str">
        <x:v>Те же ограничения label data; возможны дубликаты/варианты упаковок и неполные inactive ingredients</x:v>
      </x:c>
      <x:c r="O26" s="27" t="str">
        <x:v>P1</x:v>
      </x:c>
      <x:c r="P26" s="27" t="str">
        <x:v>A</x:v>
      </x:c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28" hidden="0" customHeight="1">
      <x:c r="A27" s="28" t="str">
        <x:v>U06</x:v>
      </x:c>
      <x:c r="B27" s="21" t="str">
        <x:v>UV filters / safety</x:v>
      </x:c>
      <x:c r="C27" s="21" t="str">
        <x:v>SCCS Opinions</x:v>
      </x:c>
      <x:c r="D27" s="21" t="str">
        <x:v>Экспертные регуляторные заключения ЕС</x:v>
      </x:c>
      <x:c r="E27" s="21" t="str">
        <x:v>Отдельные UV-фильтры и косметические ингредиенты</x:v>
      </x:c>
      <x:c r="F27" s="21" t="str">
        <x:v>Purity/impurities; exposure; dermal absorption; systemic toxicity; irritation/sensitization/phototoxicity; margin of safety</x:v>
      </x:c>
      <x:c r="G27" s="21" t="str">
        <x:v>Экспертная оценка первичных исследований</x:v>
      </x:c>
      <x:c r="H27" s="21" t="str">
        <x:v>PDF по ингредиентам</x:v>
      </x:c>
      <x:c r="I27" s="21" t="str">
        <x:v>Нет единой ML-таблицы</x:v>
      </x:c>
      <x:c r="J27" s="21" t="str">
        <x:v>European Commission reuse terms</x:v>
      </x:c>
      <x:c r="K27" s="21" t="str">
        <x:v>https://health.ec.europa.eu/scientific-committees/scientific-committee-consumer-safety-sccs/sccs-opinions_en</x:v>
      </x:c>
      <x:c r="L27" s="21" t="str">
        <x:v>Фильтровать страницу по названию/CAS UV-фильтра; скачать opinion PDF и приложения; извлекать таблицы с обязательным номером opinion и версией</x:v>
      </x:c>
      <x:c r="M27" s="21" t="str">
        <x:v>Наиболее ценный ручной слой high-confidence safety/exposure для разрешённых UV-фильтров</x:v>
      </x:c>
      <x:c r="N27" s="21" t="str">
        <x:v>Мало молекул, неодинаковые протоколы и документы; автоматический text mining требует ручной верификации</x:v>
      </x:c>
      <x:c r="O27" s="28" t="str">
        <x:v>P0</x:v>
      </x:c>
      <x:c r="P27" s="28" t="str">
        <x:v>B</x:v>
      </x:c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04" hidden="0" customHeight="1">
      <x:c r="A28" s="27" t="str">
        <x:v>U07</x:v>
      </x:c>
      <x:c r="B28" s="22" t="str">
        <x:v>Skin safety</x:v>
      </x:c>
      <x:c r="C28" s="22" t="str">
        <x:v>NICE Data Sets (formerly ICE)</x:v>
      </x:c>
      <x:c r="D28" s="22" t="str">
        <x:v>Курируемые токсикологические flat files + API</x:v>
      </x:c>
      <x:c r="E28" s="22" t="str">
        <x:v>Skin sensitization, skin irritation/corrosion, acute dermal toxicity, ADME, physicochemical properties, cHTS</x:v>
      </x:c>
      <x:c r="F28" s="22" t="str">
        <x:v>Экспериментальные in vivo/in vitro endpoints; harmonized calls; OPERA predictions; provenance</x:v>
      </x:c>
      <x:c r="G28" s="22" t="str">
        <x:v>Эксперимент + curated predictions</x:v>
      </x:c>
      <x:c r="H28" s="22" t="str">
        <x:v>XLSX/ZIP/JSON API</x:v>
      </x:c>
      <x:c r="I28" s="22" t="str">
        <x:v>Да</x:v>
      </x:c>
      <x:c r="J28" s="22" t="str">
        <x:v>Публично, без ограничений использования по описанию NICE; сохранять source metadata</x:v>
      </x:c>
      <x:c r="K28" s="22" t="str">
        <x:v>https://ice.ntp.niehs.nih.gov/downloads/DataonICE/</x:v>
      </x:c>
      <x:c r="L28" s="22" t="str">
        <x:v>Скачать Skin_Sensitization.xlsx, Skin_Irritation_Corrosion.xlsx, ADME_Parameters.xlsx и нужные cHTS файлы; API: https://ice.ntp.niehs.nih.gov/api/v1/search?chemid=...</x:v>
      </x:c>
      <x:c r="M28" s="22" t="str">
        <x:v>Главный открытый bulk-источник skin hazard/NAM labels</x:v>
      </x:c>
      <x:c r="N28" s="22" t="str">
        <x:v>Смешивает тестовые системы и predicted/experimental values; endpoint и assay должны оставаться отдельными полями</x:v>
      </x:c>
      <x:c r="O28" s="27" t="str">
        <x:v>P0</x:v>
      </x:c>
      <x:c r="P28" s="27" t="str">
        <x:v>A</x:v>
      </x:c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92" hidden="0" customHeight="1">
      <x:c r="A29" s="28" t="str">
        <x:v>U08</x:v>
      </x:c>
      <x:c r="B29" s="21" t="str">
        <x:v>Skin safety</x:v>
      </x:c>
      <x:c r="C29" s="21" t="str">
        <x:v>SARA-ICE database/model</x:v>
      </x:c>
      <x:c r="D29" s="21" t="str">
        <x:v>Интегрированная модель сенсибилизации + база</x:v>
      </x:c>
      <x:c r="E29" s="21" t="str">
        <x:v>&gt;400 chemicals</x:v>
      </x:c>
      <x:c r="F29" s="21" t="str">
        <x:v>Human/LLNA/in vitro DPRA, kDPRA, KeratinoSens, h-CLAT, U-SENS; predicted human ED01 with uncertainty</x:v>
      </x:c>
      <x:c r="G29" s="21" t="str">
        <x:v>Эксперимент + Bayesian integration</x:v>
      </x:c>
      <x:c r="H29" s="21" t="str">
        <x:v>Read-only XLSX; app export XLSX/CSV</x:v>
      </x:c>
      <x:c r="I29" s="21" t="str">
        <x:v>Да</x:v>
      </x:c>
      <x:c r="J29" s="21" t="str">
        <x:v>NICEATM public resource</x:v>
      </x:c>
      <x:c r="K29" s="21" t="str">
        <x:v>https://ntp.niehs.nih.gov/whatwestudy/niceatm/test-method-evaluations/skin-sens/da/SARA-ICE</x:v>
      </x:c>
      <x:c r="L29" s="21" t="str">
        <x:v>На странице нажать Download the SARA-ICE database (May 2023); в приложении результаты выгружаются через Download Analysis</x:v>
      </x:c>
      <x:c r="M29" s="21" t="str">
        <x:v>Человеко-релевантная potency target и пример probabilistic evidence integration</x:v>
      </x:c>
      <x:c r="N29" s="21" t="str">
        <x:v>Небольшое химическое покрытие; модельные ED01 не равны прямому клиническому наблюдению для новых молекул</x:v>
      </x:c>
      <x:c r="O29" s="28" t="str">
        <x:v>P0</x:v>
      </x:c>
      <x:c r="P29" s="28" t="str">
        <x:v>A</x:v>
      </x:c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68" hidden="0" customHeight="1">
      <x:c r="A30" s="27" t="str">
        <x:v>U09</x:v>
      </x:c>
      <x:c r="B30" s="22" t="str">
        <x:v>Skin safety</x:v>
      </x:c>
      <x:c r="C30" s="22" t="str">
        <x:v>Human Predictive Patch Test database</x:v>
      </x:c>
      <x:c r="D30" s="22" t="str">
        <x:v>Курируемая база человеческих patch tests</x:v>
      </x:c>
      <x:c r="E30" s="22" t="str">
        <x:v>2 277 tests; 1 366 unique substances; 1 555 publications</x:v>
      </x:c>
      <x:c r="F30" s="22" t="str">
        <x:v>HRIPT/HMT concentrations, doses, subject counts, positives, potency/classification metadata</x:v>
      </x:c>
      <x:c r="G30" s="22" t="str">
        <x:v>Human experimental</x:v>
      </x:c>
      <x:c r="H30" s="22" t="str">
        <x:v>XLSX</x:v>
      </x:c>
      <x:c r="I30" s="22" t="str">
        <x:v>Да</x:v>
      </x:c>
      <x:c r="J30" s="22" t="str">
        <x:v>NICEATM public resource</x:v>
      </x:c>
      <x:c r="K30" s="22" t="str">
        <x:v>https://ntp.niehs.nih.gov/whatwestudy/niceatm/test-method-evaluations/skin-sens/hppt</x:v>
      </x:c>
      <x:c r="L30" s="22" t="str">
        <x:v>Нажать Human predictive patch test database (updated May 25, 2023) — Excel</x:v>
      </x:c>
      <x:c r="M30" s="22" t="str">
        <x:v>Наиболее прямой открытый слой human skin sensitization</x:v>
      </x:c>
      <x:c r="N30" s="22" t="str">
        <x:v>Исторические протоколы, дозы и vehicles неоднородны; нельзя сводить все записи к одному бинарному label без агрегирования</x:v>
      </x:c>
      <x:c r="O30" s="27" t="str">
        <x:v>P0</x:v>
      </x:c>
      <x:c r="P30" s="27" t="str">
        <x:v>A</x:v>
      </x:c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92" hidden="0" customHeight="1">
      <x:c r="A31" s="28" t="str">
        <x:v>U10</x:v>
      </x:c>
      <x:c r="B31" s="21" t="str">
        <x:v>Skin safety</x:v>
      </x:c>
      <x:c r="C31" s="21" t="str">
        <x:v>SkinSensDB</x:v>
      </x:c>
      <x:c r="D31" s="21" t="str">
        <x:v>Специализированная база skin sensitization assays</x:v>
      </x:c>
      <x:c r="E31" s="21" t="str">
        <x:v>Около 710 chemicals и 4 928 assay values</x:v>
      </x:c>
      <x:c r="F31" s="21" t="str">
        <x:v>DPRA/PPRA; KeratinoSens/LuSens; h-CLAT; LLNA; identifiers/SMILES</x:v>
      </x:c>
      <x:c r="G31" s="21" t="str">
        <x:v>Эксперимент</x:v>
      </x:c>
      <x:c r="H31" s="21" t="str">
        <x:v>Excel export; SDF per compound</x:v>
      </x:c>
      <x:c r="I31" s="21" t="str">
        <x:v>Да, если сайт доступен</x:v>
      </x:c>
      <x:c r="J31" s="21" t="str">
        <x:v>Проверить условия сайта/публикации</x:v>
      </x:c>
      <x:c r="K31" s="21" t="str">
        <x:v>http://cwtung.kmu.edu.tw/skinsensdb</x:v>
      </x:c>
      <x:c r="L31" s="21" t="str">
        <x:v>Использовать full-record Excel export; при недоступности сайта брать harmonized skin_sensitization.xlsx из NICE и публикацию SkinSensDB</x:v>
      </x:c>
      <x:c r="M31" s="21" t="str">
        <x:v>Дополнительный assay-level sensitization corpus</x:v>
      </x:c>
      <x:c r="N31" s="21" t="str">
        <x:v>Старый ресурс и нестабильная доступность; возможное перекрытие с NICE; обязательна дедупликация по исходной публикации</x:v>
      </x:c>
      <x:c r="O31" s="28" t="str">
        <x:v>P1</x:v>
      </x:c>
      <x:c r="P31" s="28" t="str">
        <x:v>B</x:v>
      </x:c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6" hidden="0" customHeight="1">
      <x:c r="A32" s="27" t="str">
        <x:v>U11</x:v>
      </x:c>
      <x:c r="B32" s="22" t="str">
        <x:v>Skin permeability</x:v>
      </x:c>
      <x:c r="C32" s="22" t="str">
        <x:v>HuskinDB</x:v>
      </x:c>
      <x:c r="D32" s="22" t="str">
        <x:v>Курируемая база human skin permeation</x:v>
      </x:c>
      <x:c r="E32" s="22" t="str">
        <x:v>546 Kp values; 251 compounds; 94 publications (версия 2020)</x:v>
      </x:c>
      <x:c r="F32" s="22" t="str">
        <x:v>logKp, flux/concentration и подробные protocol conditions; canonical SMILES; skin source/layer, vehicle, pH, temperature</x:v>
      </x:c>
      <x:c r="G32" s="22" t="str">
        <x:v>Human in vitro experimental</x:v>
      </x:c>
      <x:c r="H32" s="22" t="str">
        <x:v>CSV/Excel from tables</x:v>
      </x:c>
      <x:c r="I32" s="22" t="str">
        <x:v>Да</x:v>
      </x:c>
      <x:c r="J32" s="22" t="str">
        <x:v>Проверить Synapse/сайт; статья open</x:v>
      </x:c>
      <x:c r="K32" s="22" t="str">
        <x:v>https://www.huskindb.drug-design.de/</x:v>
      </x:c>
      <x:c r="L32" s="22" t="str">
        <x:v>В разделе Database выгрузить таблицы CSV/Excel; альтернативная запись: https://doi.org/10.7303/syn21998881</x:v>
      </x:c>
      <x:c r="M32" s="22" t="str">
        <x:v>Ключевой physics-aware источник Kp с контекстом протокола</x:v>
      </x:c>
      <x:c r="N32" s="22" t="str">
        <x:v>Kp зависит от skin layer, vehicle, pH, temperature и units; нельзя усреднять без контекста</x:v>
      </x:c>
      <x:c r="O32" s="27" t="str">
        <x:v>P0</x:v>
      </x:c>
      <x:c r="P32" s="27" t="str">
        <x:v>A</x:v>
      </x:c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6" hidden="0" customHeight="1">
      <x:c r="A33" s="28" t="str">
        <x:v>U12</x:v>
      </x:c>
      <x:c r="B33" s="21" t="str">
        <x:v>Skin permeability</x:v>
      </x:c>
      <x:c r="C33" s="21" t="str">
        <x:v>SkinPiX</x:v>
      </x:c>
      <x:c r="D33" s="21" t="str">
        <x:v>Обновление human skin permeability data</x:v>
      </x:c>
      <x:c r="E33" s="21" t="str">
        <x:v>Систематический review данных 2012–2021; cleaned Excel</x:v>
      </x:c>
      <x:c r="F33" s="21" t="str">
        <x:v>Steady-state flux, maximum flux, lag time, Kp и protocol metadata</x:v>
      </x:c>
      <x:c r="G33" s="21" t="str">
        <x:v>Human in vitro experimental</x:v>
      </x:c>
      <x:c r="H33" s="21" t="str">
        <x:v>XLSX + README</x:v>
      </x:c>
      <x:c r="I33" s="21" t="str">
        <x:v>Да</x:v>
      </x:c>
      <x:c r="J33" s="21" t="str">
        <x:v>Условия Recherche Data Gouv record</x:v>
      </x:c>
      <x:c r="K33" s="21" t="str">
        <x:v>https://entrepot.recherche.data.gouv.fr/dataset.xhtml?persistentId=doi:10.57745/7FHQOY</x:v>
      </x:c>
      <x:c r="L33" s="21" t="str">
        <x:v>Скачать 20230620_cleanedDB.xlsx и README либо Original format ZIP</x:v>
      </x:c>
      <x:c r="M33" s="21" t="str">
        <x:v>Современное дополнение к HuskinDB с явными критериями включения</x:v>
      </x:c>
      <x:c r="N33" s="21" t="str">
        <x:v>Всё ещё небольшой и неоднородный набор; исключения исследования определяют область применимости</x:v>
      </x:c>
      <x:c r="O33" s="28" t="str">
        <x:v>P0</x:v>
      </x:c>
      <x:c r="P33" s="28" t="str">
        <x:v>A</x:v>
      </x:c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20" hidden="0" customHeight="1">
      <x:c r="A34" s="27" t="str">
        <x:v>U13</x:v>
      </x:c>
      <x:c r="B34" s="22" t="str">
        <x:v>Skin permeability</x:v>
      </x:c>
      <x:c r="C34" s="22" t="str">
        <x:v>Updated Jmax/Kp human epidermis dataset</x:v>
      </x:c>
      <x:c r="D34" s="22" t="str">
        <x:v>Открытый табличный skin absorption dataset</x:v>
      </x:c>
      <x:c r="E34" s="22" t="str">
        <x:v>Human epidermis, aqueous infinite-dose experiments; curated Jmax/Kp</x:v>
      </x:c>
      <x:c r="F34" s="22" t="str">
        <x:v>Jmax, Kp, structures/identifiers и экспериментальный контекст</x:v>
      </x:c>
      <x:c r="G34" s="22" t="str">
        <x:v>Human in vitro experimental</x:v>
      </x:c>
      <x:c r="H34" s="22" t="str">
        <x:v>Download All archive/tables</x:v>
      </x:c>
      <x:c r="I34" s="22" t="str">
        <x:v>Да</x:v>
      </x:c>
      <x:c r="J34" s="22" t="str">
        <x:v>CC BY 4.0</x:v>
      </x:c>
      <x:c r="K34" s="22" t="str">
        <x:v>https://data.mendeley.com/datasets/8bs7hb2wj2/1</x:v>
      </x:c>
      <x:c r="L34" s="22" t="str">
        <x:v>Нажать Download All и сохранить version 1; проверить readme/column dictionary</x:v>
      </x:c>
      <x:c r="M34" s="22" t="str">
        <x:v>Дополнительная независимая permeability выборка и проверка переносимости</x:v>
      </x:c>
      <x:c r="N34" s="22" t="str">
        <x:v>Узкая экспериментальная постановка; возможное перекрытие с другими агрегатами</x:v>
      </x:c>
      <x:c r="O34" s="27" t="str">
        <x:v>P1</x:v>
      </x:c>
      <x:c r="P34" s="27" t="str">
        <x:v>A</x:v>
      </x:c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96" hidden="0" customHeight="1">
      <x:c r="A35" s="28" t="str">
        <x:v>U14</x:v>
      </x:c>
      <x:c r="B35" s="21" t="str">
        <x:v>Skin permeability</x:v>
      </x:c>
      <x:c r="C35" s="21" t="str">
        <x:v>Chemical absorption in human skin (Dryad)</x:v>
      </x:c>
      <x:c r="D35" s="21" t="str">
        <x:v>Механистически богатый skin dataset</x:v>
      </x:c>
      <x:c r="E35" s="21" t="str">
        <x:v>73 chemicals</x:v>
      </x:c>
      <x:c r="F35" s="21" t="str">
        <x:v>Diffusion, permeability и partition coefficients + физико-химические descriptors</x:v>
      </x:c>
      <x:c r="G35" s="21" t="str">
        <x:v>Human experimental/derived</x:v>
      </x:c>
      <x:c r="H35" s="21" t="str">
        <x:v>Excel/files</x:v>
      </x:c>
      <x:c r="I35" s="21" t="str">
        <x:v>Да</x:v>
      </x:c>
      <x:c r="J35" s="21" t="str">
        <x:v>Условия Dryad record</x:v>
      </x:c>
      <x:c r="K35" s="21" t="str">
        <x:v>https://datadryad.org/dataset/doi:10.5061/dryad.dfn2z3581</x:v>
      </x:c>
      <x:c r="L35" s="21" t="str">
        <x:v>Нажать Download dataset либо скачать Excel по отдельности</x:v>
      </x:c>
      <x:c r="M35" s="21" t="str">
        <x:v>Небольшой интерпретируемый набор для mechanistic constraints и unit tests</x:v>
      </x:c>
      <x:c r="N35" s="21" t="str">
        <x:v>73 chemicals недостаточно для standalone deep model</x:v>
      </x:c>
      <x:c r="O35" s="28" t="str">
        <x:v>P1</x:v>
      </x:c>
      <x:c r="P35" s="28" t="str">
        <x:v>A</x:v>
      </x:c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32" hidden="0" customHeight="1">
      <x:c r="A36" s="27" t="str">
        <x:v>U15</x:v>
      </x:c>
      <x:c r="B36" s="22" t="str">
        <x:v>Skin permeability</x:v>
      </x:c>
      <x:c r="C36" s="22" t="str">
        <x:v>EDETOX</x:v>
      </x:c>
      <x:c r="D36" s="22" t="str">
        <x:v>Историческая база percutaneous penetration</x:v>
      </x:c>
      <x:c r="E36" s="22" t="str">
        <x:v>Около 2 501 records; разные species/formulations; обновление примерно до 2016</x:v>
      </x:c>
      <x:c r="F36" s="22" t="str">
        <x:v>In vitro/in vivo dermal absorption, formulation and protocol context</x:v>
      </x:c>
      <x:c r="G36" s="22" t="str">
        <x:v>Эксперимент</x:v>
      </x:c>
      <x:c r="H36" s="22" t="str">
        <x:v>Web filters + Excel export</x:v>
      </x:c>
      <x:c r="I36" s="22" t="str">
        <x:v>Да/по запросу</x:v>
      </x:c>
      <x:c r="J36" s="22" t="str">
        <x:v>Проверить условия Newcastle resource</x:v>
      </x:c>
      <x:c r="K36" s="22" t="str">
        <x:v>https://research.ncl.ac.uk/edetox/theedetoxdatabase/</x:v>
      </x:c>
      <x:c r="L36" s="22" t="str">
        <x:v>Открыть database/app, задать фильтры и экспортировать результаты в Excel</x:v>
      </x:c>
      <x:c r="M36" s="22" t="str">
        <x:v>Широкий исторический слой formulation-dependent absorption</x:v>
      </x:c>
      <x:c r="N36" s="22" t="str">
        <x:v>Старый, межвидовой и методически неоднородный; human-only subset выделять явно</x:v>
      </x:c>
      <x:c r="O36" s="27" t="str">
        <x:v>P2</x:v>
      </x:c>
      <x:c r="P36" s="27" t="str">
        <x:v>B</x:v>
      </x:c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20" hidden="0" customHeight="1">
      <x:c r="A37" s="28" t="str">
        <x:v>U16</x:v>
      </x:c>
      <x:c r="B37" s="21" t="str">
        <x:v>Phototoxicity</x:v>
      </x:c>
      <x:c r="C37" s="21" t="str">
        <x:v>QsarDB phototoxicity archive QDB.139</x:v>
      </x:c>
      <x:c r="D37" s="21" t="str">
        <x:v>Малый QSAR dataset/model archive</x:v>
      </x:c>
      <x:c r="E37" s="21" t="str">
        <x:v>53 compounds; 3T3 NRU phototoxicity</x:v>
      </x:c>
      <x:c r="F37" s="21" t="str">
        <x:v>Phototoxicity endpoint; training/test split; descriptors/model metadata</x:v>
      </x:c>
      <x:c r="G37" s="21" t="str">
        <x:v>In vitro experimental + QSAR</x:v>
      </x:c>
      <x:c r="H37" s="21" t="str">
        <x:v>QDB ZIP около 12.6 KB</x:v>
      </x:c>
      <x:c r="I37" s="21" t="str">
        <x:v>Да</x:v>
      </x:c>
      <x:c r="J37" s="21" t="str">
        <x:v>Creative Commons — точный вариант указан в записи</x:v>
      </x:c>
      <x:c r="K37" s="21" t="str">
        <x:v>https://qsardb.org/repository/handle/10967/139</x:v>
      </x:c>
      <x:c r="L37" s="21" t="str">
        <x:v>Нажать Download archive; зафиксировать DOI 10.15152/QDB.139</x:v>
      </x:c>
      <x:c r="M37" s="21" t="str">
        <x:v>Минимальный открытый benchmark phototoxicity и проверка полного modelling provenance</x:v>
      </x:c>
      <x:c r="N37" s="21" t="str">
        <x:v>Всего 53 compounds; старый assay-specific набор; не годится как единственный safety oracle</x:v>
      </x:c>
      <x:c r="O37" s="28" t="str">
        <x:v>P1</x:v>
      </x:c>
      <x:c r="P37" s="28" t="str">
        <x:v>A</x:v>
      </x:c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80" hidden="0" customHeight="1">
      <x:c r="A38" s="27" t="str">
        <x:v>U17</x:v>
      </x:c>
      <x:c r="B38" s="22" t="str">
        <x:v>Phototoxicity</x:v>
      </x:c>
      <x:c r="C38" s="22" t="str">
        <x:v>PhotoChem Reference Chemical Database</x:v>
      </x:c>
      <x:c r="D38" s="22" t="str">
        <x:v>Курируемая литературная reference collection</x:v>
      </x:c>
      <x:c r="E38" s="22" t="str">
        <x:v>251 compounds; in vitro, in vivo и human phototoxicity evidence</x:v>
      </x:c>
      <x:c r="F38" s="22" t="str">
        <x:v>Reference classifications/evidence for phototoxicity and photoallergy</x:v>
      </x:c>
      <x:c r="G38" s="22" t="str">
        <x:v>Литературная курация</x:v>
      </x:c>
      <x:c r="H38" s="22" t="str">
        <x:v>Article tables/supplement</x:v>
      </x:c>
      <x:c r="I38" s="22" t="str">
        <x:v>Машинно-читаемая полная выгрузка не подтверждена</x:v>
      </x:c>
      <x:c r="J38" s="22" t="str">
        <x:v>Условия статьи/supplement</x:v>
      </x:c>
      <x:c r="K38" s="22" t="str">
        <x:v>https://doi.org/10.3390/toxics13070545</x:v>
      </x:c>
      <x:c r="L38" s="22" t="str">
        <x:v>Скачать статью и Supplementary Materials; проверить наличие таблиц, при необходимости извлечь с двойной ручной проверкой</x:v>
      </x:c>
      <x:c r="M38" s="22" t="str">
        <x:v>Наиболее современная стартовая карта reference phototoxicants</x:v>
      </x:c>
      <x:c r="N38" s="22" t="str">
        <x:v>Не считать готовой независимой DB до проверки supplementary files; heterogeneous evidence tiers</x:v>
      </x:c>
      <x:c r="O38" s="27" t="str">
        <x:v>P0-literature</x:v>
      </x:c>
      <x:c r="P38" s="27" t="str">
        <x:v>C</x:v>
      </x:c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44" hidden="0" customHeight="1">
      <x:c r="A39" s="28" t="str">
        <x:v>U18</x:v>
      </x:c>
      <x:c r="B39" s="21" t="str">
        <x:v>Safety / QSAR</x:v>
      </x:c>
      <x:c r="C39" s="21" t="str">
        <x:v>JRC QSAR Model Database</x:v>
      </x:c>
      <x:c r="D39" s="21" t="str">
        <x:v>Архив регуляторных QSAR моделей</x:v>
      </x:c>
      <x:c r="E39" s="21" t="str">
        <x:v>QMRF records и для части моделей training/test structures/data</x:v>
      </x:c>
      <x:c r="F39" s="21" t="str">
        <x:v>Разные endpoints, включая skin-related models; applicability domain и validation documentation</x:v>
      </x:c>
      <x:c r="G39" s="21" t="str">
        <x:v>QSAR/model documentation</x:v>
      </x:c>
      <x:c r="H39" s="21" t="str">
        <x:v>ZIP/QMRF/SDF</x:v>
      </x:c>
      <x:c r="I39" s="21" t="str">
        <x:v>Да, по моделям</x:v>
      </x:c>
      <x:c r="J39" s="21" t="str">
        <x:v>European Commission reuse notice</x:v>
      </x:c>
      <x:c r="K39" s="21" t="str">
        <x:v>https://doi.org/10.2905/JRC.FXAJT5G</x:v>
      </x:c>
      <x:c r="L39" s="21" t="str">
        <x:v>Скачать ZIP записи; фильтровать модели по endpoint; читать QMRF и проверять наличие training/test SDF</x:v>
      </x:c>
      <x:c r="M39" s="21" t="str">
        <x:v>Источник прозрачных baseline QSAR и AD definitions</x:v>
      </x:c>
      <x:c r="N39" s="21" t="str">
        <x:v>Исторический каталог, неоднородные модели; не единый современный toxicity dataset</x:v>
      </x:c>
      <x:c r="O39" s="28" t="str">
        <x:v>P2</x:v>
      </x:c>
      <x:c r="P39" s="28" t="str">
        <x:v>A</x:v>
      </x:c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80" hidden="0" customHeight="1">
      <x:c r="A40" s="27" t="str">
        <x:v>U19</x:v>
      </x:c>
      <x:c r="B40" s="22" t="str">
        <x:v>Safety / federated</x:v>
      </x:c>
      <x:c r="C40" s="22" t="str">
        <x:v>OECD eChemPortal</x:v>
      </x:c>
      <x:c r="D40" s="22" t="str">
        <x:v>Федеративный поисковый портал</x:v>
      </x:c>
      <x:c r="E40" s="22" t="str">
        <x:v>Physchem, environmental fate, ecotox и human health endpoints из множества источников</x:v>
      </x:c>
      <x:c r="F40" s="22" t="str">
        <x:v>Skin irritation/sensitization и другие OECD-harmonized study summaries</x:v>
      </x:c>
      <x:c r="G40" s="22" t="str">
        <x:v>Экспериментальные study records</x:v>
      </x:c>
      <x:c r="H40" s="22" t="str">
        <x:v>Web results; интерактивная выгрузка</x:v>
      </x:c>
      <x:c r="I40" s="22" t="str">
        <x:v>Нет простого единого bulk dump</x:v>
      </x:c>
      <x:c r="J40" s="22" t="str">
        <x:v>Условия каждой source database</x:v>
      </x:c>
      <x:c r="K40" s="22" t="str">
        <x:v>https://www.echemportal.org/</x:v>
      </x:c>
      <x:c r="L40" s="22" t="str">
        <x:v>Искать по CAS/InChIKey; выбрать property results и использовать download/export; сохранять originating database и study identifier</x:v>
      </x:c>
      <x:c r="M40" s="22" t="str">
        <x:v>Ручное заполнение пробелов и регуляторная верификация отдельных кандидатов</x:v>
      </x:c>
      <x:c r="N40" s="22" t="str">
        <x:v>Не подходит как первый bulk corpus; права и полнота зависят от источника; часть подробностей может быть ограничена</x:v>
      </x:c>
      <x:c r="O40" s="27" t="str">
        <x:v>P2</x:v>
      </x:c>
      <x:c r="P40" s="27" t="str">
        <x:v>B</x:v>
      </x:c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44" hidden="0" customHeight="1">
      <x:c r="A41" s="28" t="str">
        <x:v>U20</x:v>
      </x:c>
      <x:c r="B41" s="21" t="str">
        <x:v>Identity / safety hub</x:v>
      </x:c>
      <x:c r="C41" s="21" t="str">
        <x:v>EPA CompTox Chemicals Dashboard</x:v>
      </x:c>
      <x:c r="D41" s="21" t="str">
        <x:v>Идентификационный и property/toxicity hub</x:v>
      </x:c>
      <x:c r="E41" s="21" t="str">
        <x:v>Миллионы substances; batch search до 10 000 идентификаторов за запрос</x:v>
      </x:c>
      <x:c r="F41" s="21" t="str">
        <x:v>Structures/DTXSID; physchem; exposure; ToxCast; OPERA predictions; links to toxicity records</x:v>
      </x:c>
      <x:c r="G41" s="21" t="str">
        <x:v>Эксперимент + prediction + aggregation</x:v>
      </x:c>
      <x:c r="H41" s="21" t="str">
        <x:v>CSV/Excel/SDF export</x:v>
      </x:c>
      <x:c r="I41" s="21" t="str">
        <x:v>Да, batch/export/API</x:v>
      </x:c>
      <x:c r="J41" s="21" t="str">
        <x:v>EPA public data; учитывать licenses linked sources</x:v>
      </x:c>
      <x:c r="K41" s="21" t="str">
        <x:v>https://comptox.epa.gov/dashboard/</x:v>
      </x:c>
      <x:c r="L41" s="21" t="str">
        <x:v>Batch Search → вставить CAS/InChIKey/DTXSID (до 10 000) → выбрать columns → Download CSV/Excel/SDF</x:v>
      </x:c>
      <x:c r="M41" s="21" t="str">
        <x:v>Центральный identity resolution для связывания CosIng/FDA/MOST/skin datasets</x:v>
      </x:c>
      <x:c r="N41" s="21" t="str">
        <x:v>Predicted и experimental значения нельзя смешивать; salts/mixtures/UVCB требуют особого identity status</x:v>
      </x:c>
      <x:c r="O41" s="28" t="str">
        <x:v>P0</x:v>
      </x:c>
      <x:c r="P41" s="28" t="str">
        <x:v>A</x:v>
      </x:c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80" hidden="0" customHeight="1">
      <x:c r="A42" s="27" t="str">
        <x:v>U21</x:v>
      </x:c>
      <x:c r="B42" s="22" t="str">
        <x:v>Products / use</x:v>
      </x:c>
      <x:c r="C42" s="22" t="str">
        <x:v>EPA CPDat / ChemExpo</x:v>
      </x:c>
      <x:c r="D42" s="22" t="str">
        <x:v>База chemicals in commerce/products</x:v>
      </x:c>
      <x:c r="E42" s="22" t="str">
        <x:v>Тысячи продуктов и ingredients; harmonized product/use/function categories, включая sunscreen</x:v>
      </x:c>
      <x:c r="F42" s="22" t="str">
        <x:v>Product composition/list presence; product use category; functional use; DTXSID mappings</x:v>
      </x:c>
      <x:c r="G42" s="22" t="str">
        <x:v>Product/use evidence</x:v>
      </x:c>
      <x:c r="H42" s="22" t="str">
        <x:v>Bulk release/API/CSV</x:v>
      </x:c>
      <x:c r="I42" s="22" t="str">
        <x:v>Да</x:v>
      </x:c>
      <x:c r="J42" s="22" t="str">
        <x:v>EPA public data; release-specific terms</x:v>
      </x:c>
      <x:c r="K42" s="22" t="str">
        <x:v>https://www.epa.gov/chemical-research/chemical-and-products-database-cpdat</x:v>
      </x:c>
      <x:c r="L42" s="22" t="str">
        <x:v>Перейти по Current CPDat Release для bulk; либо ChemExpo → product type sunscreen → CSV; доступны CTX APIs</x:v>
      </x:c>
      <x:c r="M42" s="22" t="str">
        <x:v>Сильный открытый источник фактического product-use и co-ingredient context</x:v>
      </x:c>
      <x:c r="N42" s="22" t="str">
        <x:v>Присутствие в продукте не доказывает безопасность или измеренный SPF; концентрации часто отсутствуют/диапазонны</x:v>
      </x:c>
      <x:c r="O42" s="27" t="str">
        <x:v>P0</x:v>
      </x:c>
      <x:c r="P42" s="27" t="str">
        <x:v>A</x:v>
      </x:c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6" hidden="0" customHeight="1">
      <x:c r="A43" s="28" t="str">
        <x:v>U22</x:v>
      </x:c>
      <x:c r="B43" s="21" t="str">
        <x:v>Products / use</x:v>
      </x:c>
      <x:c r="C43" s="21" t="str">
        <x:v>Open Beauty Facts</x:v>
      </x:c>
      <x:c r="D43" s="21" t="str">
        <x:v>Crowdsourced product-label database</x:v>
      </x:c>
      <x:c r="E43" s="21" t="str">
        <x:v>Косметические продукты разных стран; ingredient lists, claims и изображения</x:v>
      </x:c>
      <x:c r="F43" s="21" t="str">
        <x:v>Product names/categories; ingredients; allergens; labels; часть SPF claims</x:v>
      </x:c>
      <x:c r="G43" s="21" t="str">
        <x:v>Product label / crowdsourced</x:v>
      </x:c>
      <x:c r="H43" s="21" t="str">
        <x:v>CSV bulk + API</x:v>
      </x:c>
      <x:c r="I43" s="21" t="str">
        <x:v>Да</x:v>
      </x:c>
      <x:c r="J43" s="21" t="str">
        <x:v>ODbL</x:v>
      </x:c>
      <x:c r="K43" s="21" t="str">
        <x:v>https://world.openbeautyfacts.org/data</x:v>
      </x:c>
      <x:c r="L43" s="21" t="str">
        <x:v>Скачать global CSV/data export либо использовать Open Beauty Facts API; сохранять timestamp и completeness fields</x:v>
      </x:c>
      <x:c r="M43" s="21" t="str">
        <x:v>Масштабный prior совместной встречаемости ингредиентов и международных product labels</x:v>
      </x:c>
      <x:c r="N43" s="21" t="str">
        <x:v>Неполнота, ошибки OCR/ввода и selection bias; не источник подтверждённого SPF, чистоты или токсикологии</x:v>
      </x:c>
      <x:c r="O43" s="28" t="str">
        <x:v>P1</x:v>
      </x:c>
      <x:c r="P43" s="28" t="str">
        <x:v>A</x:v>
      </x:c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68" hidden="0" customHeight="1">
      <x:c r="A44" s="27" t="str">
        <x:v>U23</x:v>
      </x:c>
      <x:c r="B44" s="22" t="str">
        <x:v>Identity / structures</x:v>
      </x:c>
      <x:c r="C44" s="22" t="str">
        <x:v>PubChem</x:v>
      </x:c>
      <x:c r="D44" s="22" t="str">
        <x:v>Крупная публичная химическая база и API</x:v>
      </x:c>
      <x:c r="E44" s="22" t="str">
        <x:v>Structures, identifiers, computed properties, depositor annotations и links</x:v>
      </x:c>
      <x:c r="F44" s="22" t="str">
        <x:v>CID, canonical/isomeric structure, InChIKey, formula, MW, XlogP, synonyms, selected bioassays/safety records</x:v>
      </x:c>
      <x:c r="G44" s="22" t="str">
        <x:v>Aggregation + computed properties</x:v>
      </x:c>
      <x:c r="H44" s="22" t="str">
        <x:v>SDF/CSV/JSON/JSONL/XML; PUG REST/FTP</x:v>
      </x:c>
      <x:c r="I44" s="22" t="str">
        <x:v>Да</x:v>
      </x:c>
      <x:c r="J44" s="22" t="str">
        <x:v>Public domain-like NCBI usage; уважать rights linked depositors</x:v>
      </x:c>
      <x:c r="K44" s="22" t="str">
        <x:v>https://pubchem.ncbi.nlm.nih.gov/docs/downloads</x:v>
      </x:c>
      <x:c r="L44" s="22" t="str">
        <x:v>Загрузить список CID или использовать PUG REST для свойств; Search Results → Download; большие объёмы через FTP</x:v>
      </x:c>
      <x:c r="M44" s="22" t="str">
        <x:v>Structure normalization, synonyms/CAS mapping и базовые descriptors</x:v>
      </x:c>
      <x:c r="N44" s="22" t="str">
        <x:v>Не гарантирует качество каждого depositor annotation; computed values не заменяют experiment; mixtures/salts требуют нормализации</x:v>
      </x:c>
      <x:c r="O44" s="27" t="str">
        <x:v>P0</x:v>
      </x:c>
      <x:c r="P44" s="27" t="str">
        <x:v>A</x:v>
      </x:c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44" hidden="0" customHeight="1">
      <x:c r="A45" s="28" t="str">
        <x:v>U24</x:v>
      </x:c>
      <x:c r="B45" s="21" t="str">
        <x:v>Safety / reviews</x:v>
      </x:c>
      <x:c r="C45" s="21" t="str">
        <x:v>Cosmetic Ingredient Review (CIR)</x:v>
      </x:c>
      <x:c r="D45" s="21" t="str">
        <x:v>Экспертные safety assessment reports</x:v>
      </x:c>
      <x:c r="E45" s="21" t="str">
        <x:v>Косметические ingredients и группы ингредиентов</x:v>
      </x:c>
      <x:c r="F45" s="21" t="str">
        <x:v>Use concentrations; irritation/sensitization; systemic and reproductive toxicity; phototoxicity when available</x:v>
      </x:c>
      <x:c r="G45" s="21" t="str">
        <x:v>Экспертная оценка литературы</x:v>
      </x:c>
      <x:c r="H45" s="21" t="str">
        <x:v>PDF</x:v>
      </x:c>
      <x:c r="I45" s="21" t="str">
        <x:v>Нет единой таблицы</x:v>
      </x:c>
      <x:c r="J45" s="21" t="str">
        <x:v>Условия CIR</x:v>
      </x:c>
      <x:c r="K45" s="21" t="str">
        <x:v>https://www.cir-safety.org/cir-findings</x:v>
      </x:c>
      <x:c r="L45" s="21" t="str">
        <x:v>Искать по INCI/CAS и скачивать Final Report/Amended Safety Assessment PDFs; сохранять report status/date</x:v>
      </x:c>
      <x:c r="M45" s="21" t="str">
        <x:v>Дополнительный ручной evidence layer для skin-use molecules и co-ingredients</x:v>
      </x:c>
      <x:c r="N45" s="21" t="str">
        <x:v>Охват UV-фильтров неполон; документы неоднородны и не являются готовой ML-разметкой</x:v>
      </x:c>
      <x:c r="O45" s="28" t="str">
        <x:v>P2</x:v>
      </x:c>
      <x:c r="P45" s="28" t="str">
        <x:v>B</x:v>
      </x:c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1:P1"/>
    <x:mergeCell ref="A2:P2"/>
  </x:mergeCells>
  <x:conditionalFormatting sqref="P4:P45">
    <x:cfRule type="expression" dxfId="0" priority="1">
      <x:formula>P4="A"</x:formula>
    </x:cfRule>
    <x:cfRule type="expression" dxfId="1" priority="2">
      <x:formula>P4="B"</x:formula>
    </x:cfRule>
    <x:cfRule type="expression" dxfId="2" priority="3">
      <x:formula>P4="C"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a1d271d77a41d1"/>
  </x:tableParts>
</x:worksheet>
</file>

<file path=xl/worksheets/sheet3.xml><?xml version="1.0" encoding="utf-8"?>
<x:worksheet xmlns:x="http://schemas.openxmlformats.org/spreadsheetml/2006/main">
  <x:sheetPr>
    <x:tabColor rgb="FF4F86A6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7" hidden="0" customWidth="1"/>
    <x:col min="2" max="2" width="35" hidden="0" customWidth="1"/>
    <x:col min="3" max="3" width="39" hidden="0" customWidth="1"/>
    <x:col min="4" max="4" width="56" hidden="0" customWidth="1"/>
    <x:col min="5" max="5" width="25" hidden="0" customWidth="1"/>
    <x:col min="6" max="6" width="18" hidden="0" customWidth="1"/>
    <x:col min="7" max="7" width="29" hidden="0" customWidth="1"/>
    <x:col min="8" max="8" width="45" hidden="0" customWidth="1"/>
    <x:col min="9" max="9" width="14" hidden="0" customWidth="1"/>
    <x:col min="10" max="10" width="9" hidden="0" customWidth="1"/>
  </x:cols>
  <x:sheetData>
    <x:row r="1" ht="26" customHeight="1">
      <x:c r="A1" s="2" t="str">
        <x:v>MOST, NBD/QC, photoswitch и spectral/QM data</x:v>
      </x:c>
      <x:c r="B1" s="2"/>
      <x:c r="C1" s="2"/>
      <x:c r="D1" s="2"/>
      <x:c r="E1" s="2"/>
      <x:c r="F1" s="2"/>
      <x:c r="G1" s="2"/>
      <x:c r="H1" s="2"/>
      <x:c r="I1" s="2"/>
      <x:c r="J1" s="2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" t="str">
        <x:v>Короткая рабочая выборка; подробности и ограничения — на листе Все_ресурсы</x:v>
      </x:c>
      <x:c r="B2" s="4"/>
      <x:c r="C2" s="4"/>
      <x:c r="D2" s="4"/>
      <x:c r="E2" s="4"/>
      <x:c r="F2" s="4"/>
      <x:c r="G2" s="4"/>
      <x:c r="H2" s="4"/>
      <x:c r="I2" s="4"/>
      <x:c r="J2" s="4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6" customHeight="1">
      <x:c r="A3" s="16" t="str">
        <x:v>ID</x:v>
      </x:c>
      <x:c r="B3" s="16" t="str">
        <x:v>Ресурс</x:v>
      </x:c>
      <x:c r="C3" s="16" t="str">
        <x:v>Охват</x:v>
      </x:c>
      <x:c r="D3" s="16" t="str">
        <x:v>Ключевые поля</x:v>
      </x:c>
      <x:c r="E3" s="16" t="str">
        <x:v>Формат</x:v>
      </x:c>
      <x:c r="F3" s="16" t="str">
        <x:v>Bulk</x:v>
      </x:c>
      <x:c r="G3" s="16" t="str">
        <x:v>Лицензия</x:v>
      </x:c>
      <x:c r="H3" s="16" t="str">
        <x:v>URL</x:v>
      </x:c>
      <x:c r="I3" s="16" t="str">
        <x:v>Приоритет</x:v>
      </x:c>
      <x:c r="J3" s="16" t="str">
        <x:v>Grade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6" hidden="0" customHeight="1">
      <x:c r="A4" s="27" t="str">
        <x:v>M01</x:v>
      </x:c>
      <x:c r="B4" s="22" t="str">
        <x:v>The Photoswitch Dataset</x:v>
      </x:c>
      <x:c r="C4" s="22" t="str">
        <x:v>405 фотопереключателей; преимущественно азобензены</x:v>
      </x:c>
      <x:c r="D4" s="22" t="str">
        <x:v>SMILES; скорости термоизомеризации; PSS; λmax π–π* и n–π* для изомеров; ε; длина волны облучения; часть TD-DFT</x:v>
      </x:c>
      <x:c r="E4" s="22" t="str">
        <x:v>CSV + код</x:v>
      </x:c>
      <x:c r="F4" s="22" t="str">
        <x:v>Да</x:v>
      </x:c>
      <x:c r="G4" s="22" t="str">
        <x:v>MIT (репозиторий)</x:v>
      </x:c>
      <x:c r="H4" s="22" t="str">
        <x:v>https://github.com/Ryan-Rhys/The-Photoswitch-Dataset</x:v>
      </x:c>
      <x:c r="I4" s="27" t="str">
        <x:v>P0</x:v>
      </x:c>
      <x:c r="J4" s="27" t="str">
        <x:v>A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32" hidden="0" customHeight="1">
      <x:c r="A5" s="28" t="str">
        <x:v>M02</x:v>
      </x:c>
      <x:c r="B5" s="21" t="str">
        <x:v>photoswitch active-search repository</x:v>
      </x:c>
      <x:c r="C5" s="21" t="str">
        <x:v>Комбинаторная библиотека 255 991 azo-кандидатов; начальный набор около 198 молекул</x:v>
      </x:c>
      <x:c r="D5" s="21" t="str">
        <x:v>Молекулярные строки; входные обучающие данные; скрипты квантовых расчётов и активного поиска</x:v>
      </x:c>
      <x:c r="E5" s="21" t="str">
        <x:v>TXT/CSV + Python/Matlab</x:v>
      </x:c>
      <x:c r="F5" s="21" t="str">
        <x:v>Да</x:v>
      </x:c>
      <x:c r="G5" s="21" t="str">
        <x:v>Не удалось однозначно подтвердить — проверить перед перераспределением</x:v>
      </x:c>
      <x:c r="H5" s="21" t="str">
        <x:v>https://github.com/KrisNguyen135/photoswitch</x:v>
      </x:c>
      <x:c r="I5" s="28" t="str">
        <x:v>P1</x:v>
      </x:c>
      <x:c r="J5" s="28" t="str">
        <x:v>A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80" hidden="0" customHeight="1">
      <x:c r="A6" s="27" t="str">
        <x:v>M03</x:v>
      </x:c>
      <x:c r="B6" s="22" t="str">
        <x:v>Dewar pyrimidone MOST dataset</x:v>
      </x:c>
      <x:c r="C6" s="22" t="str">
        <x:v>13 CSV; несколько пиримидонов/изомеров; раствор и тонкая плёнка</x:v>
      </x:c>
      <x:c r="D6" s="22" t="str">
        <x:v>Полные UV–Vis кривые; плёнка; cycling; кинетика quantum yield; thermal reversion; DSC/TGA; energy density; IR heat release</x:v>
      </x:c>
      <x:c r="E6" s="22" t="str">
        <x:v>CSV</x:v>
      </x:c>
      <x:c r="F6" s="22" t="str">
        <x:v>Да</x:v>
      </x:c>
      <x:c r="G6" s="22" t="str">
        <x:v>Условия записи Dryad; проверить поле лицензии при выгрузке</x:v>
      </x:c>
      <x:c r="H6" s="22" t="str">
        <x:v>https://datadryad.org/dataset/doi:10.5061/dryad.rxwdbrvqg</x:v>
      </x:c>
      <x:c r="I6" s="27" t="str">
        <x:v>P0</x:v>
      </x:c>
      <x:c r="J6" s="27" t="str">
        <x:v>A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44" hidden="0" customHeight="1">
      <x:c r="A7" s="28" t="str">
        <x:v>M04</x:v>
      </x:c>
      <x:c r="B7" s="21" t="str">
        <x:v>Triplet-sensitized high-energy-density NBD raw data</x:v>
      </x:c>
      <x:c r="C7" s="21" t="str">
        <x:v>2 ZIP: 0.9 MB и 337.7 MB</x:v>
      </x:c>
      <x:c r="D7" s="21" t="str">
        <x:v>Спектроскопия; облучение; фотоконверсия; квантово-химические материалы для NBD/QC с сенсибилизаторами</x:v>
      </x:c>
      <x:c r="E7" s="21" t="str">
        <x:v>ZIP; внутренние форматы экспериментов/расчётов</x:v>
      </x:c>
      <x:c r="F7" s="21" t="str">
        <x:v>Да</x:v>
      </x:c>
      <x:c r="G7" s="21" t="str">
        <x:v>CC BY 4.0</x:v>
      </x:c>
      <x:c r="H7" s="21" t="str">
        <x:v>https://openscience.ub.uni-mainz.de/items/aabbdfa0-bfe8-43e6-93a7-4a15115d7330</x:v>
      </x:c>
      <x:c r="I7" s="28" t="str">
        <x:v>P0</x:v>
      </x:c>
      <x:c r="J7" s="28" t="str">
        <x:v>A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84" hidden="0" customHeight="1">
      <x:c r="A8" s="27" t="str">
        <x:v>M05</x:v>
      </x:c>
      <x:c r="B8" s="22" t="str">
        <x:v>Spiropyran MOST UV–Vis dataset</x:v>
      </x:c>
      <x:c r="C8" s="22" t="str">
        <x:v>data.zip около 0.5 MB</x:v>
      </x:c>
      <x:c r="D8" s="22" t="str">
        <x:v>UV–Vis данные фотоchromic spiropyran systems для MOST</x:v>
      </x:c>
      <x:c r="E8" s="22" t="str">
        <x:v>ZIP</x:v>
      </x:c>
      <x:c r="F8" s="22" t="str">
        <x:v>Да</x:v>
      </x:c>
      <x:c r="G8" s="22" t="str">
        <x:v>Проверить поле Rights в записи Zenodo</x:v>
      </x:c>
      <x:c r="H8" s="22" t="str">
        <x:v>https://zenodo.org/records/19542255</x:v>
      </x:c>
      <x:c r="I8" s="27" t="str">
        <x:v>P1</x:v>
      </x:c>
      <x:c r="J8" s="27" t="str">
        <x:v>A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20" hidden="0" customHeight="1">
      <x:c r="A9" s="28" t="str">
        <x:v>M06</x:v>
      </x:c>
      <x:c r="B9" s="21" t="str">
        <x:v>Iminothioindoxyl photoswitch data</x:v>
      </x:c>
      <x:c r="C9" s="21" t="str">
        <x:v>2 ZIP: около 166.7 MB и 12.8 MB</x:v>
      </x:c>
      <x:c r="D9" s="21" t="str">
        <x:v>Экспериментальные и теоретические данные; thermal half-life и фотопереключение ITI</x:v>
      </x:c>
      <x:c r="E9" s="21" t="str">
        <x:v>ZIP</x:v>
      </x:c>
      <x:c r="F9" s="21" t="str">
        <x:v>Да</x:v>
      </x:c>
      <x:c r="G9" s="21" t="str">
        <x:v>Проверить поле Rights в записи Zenodo</x:v>
      </x:c>
      <x:c r="H9" s="21" t="str">
        <x:v>https://zenodo.org/records/14844717</x:v>
      </x:c>
      <x:c r="I9" s="28" t="str">
        <x:v>P1</x:v>
      </x:c>
      <x:c r="J9" s="28" t="str">
        <x:v>A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08" hidden="0" customHeight="1">
      <x:c r="A10" s="27" t="str">
        <x:v>M07</x:v>
      </x:c>
      <x:c r="B10" s="22" t="str">
        <x:v>NBD nonadiabatic trajectories</x:v>
      </x:c>
      <x:c r="C10" s="22" t="str">
        <x:v>simulated_trajectories.tgz около 58.9 MB; репрезентативный NBD</x:v>
      </x:c>
      <x:c r="D10" s="22" t="str">
        <x:v>Неадиабатическая динамика возбуждённого состояния и пути фотопревращения</x:v>
      </x:c>
      <x:c r="E10" s="22" t="str">
        <x:v>TGZ</x:v>
      </x:c>
      <x:c r="F10" s="22" t="str">
        <x:v>Да</x:v>
      </x:c>
      <x:c r="G10" s="22" t="str">
        <x:v>Проверить поле Rights в Zenodo</x:v>
      </x:c>
      <x:c r="H10" s="22" t="str">
        <x:v>https://zenodo.org/records/14881708</x:v>
      </x:c>
      <x:c r="I10" s="27" t="str">
        <x:v>P2</x:v>
      </x:c>
      <x:c r="J10" s="27" t="str">
        <x:v>A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20" hidden="0" customHeight="1">
      <x:c r="A11" s="28" t="str">
        <x:v>M08</x:v>
      </x:c>
      <x:c r="B11" s="21" t="str">
        <x:v>High-throughput screening of 3 230 NBD/QC</x:v>
      </x:c>
      <x:c r="C11" s="21" t="str">
        <x:v>3 230 производных NBD/QC</x:v>
      </x:c>
      <x:c r="D11" s="21" t="str">
        <x:v>Рассчитанные storage energies, thermal barriers и solar absorption; xTB/DFT calibration</x:v>
      </x:c>
      <x:c r="E11" s="21" t="str">
        <x:v>Статья/SI PDF; открытая полная строковая матрица не найдена</x:v>
      </x:c>
      <x:c r="F11" s="21" t="str">
        <x:v>Нет подтверждённой полной выгрузки</x:v>
      </x:c>
      <x:c r="G11" s="21" t="str">
        <x:v>Зависит от статьи/SI</x:v>
      </x:c>
      <x:c r="H11" s="21" t="str">
        <x:v>https://pubs.rsc.org/en/content/articlehtml/2022/cp/d2cp03032b</x:v>
      </x:c>
      <x:c r="I11" s="28" t="str">
        <x:v>P0-literature</x:v>
      </x:c>
      <x:c r="J11" s="28" t="str">
        <x:v>C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96" hidden="0" customHeight="1">
      <x:c r="A12" s="27" t="str">
        <x:v>M09</x:v>
      </x:c>
      <x:c r="B12" s="22" t="str">
        <x:v>Virtual screening of nearly 34 000 NBD/QC</x:v>
      </x:c>
      <x:c r="C12" s="22" t="str">
        <x:v>Около 34 000 расчётно размеченных кандидатов; отбор 15</x:v>
      </x:c>
      <x:c r="D12" s="22" t="str">
        <x:v>Semiempirical energy/barrier/absorption labels; GCN + genetic algorithm</x:v>
      </x:c>
      <x:c r="E12" s="22" t="str">
        <x:v>Статья/SI; публичный bulk-repository не найден</x:v>
      </x:c>
      <x:c r="F12" s="22" t="str">
        <x:v>Не подтверждён</x:v>
      </x:c>
      <x:c r="G12" s="22" t="str">
        <x:v>Зависит от версии статьи/SI</x:v>
      </x:c>
      <x:c r="H12" s="22" t="str">
        <x:v>https://doi.org/10.1063/5.0063694</x:v>
      </x:c>
      <x:c r="I12" s="27" t="str">
        <x:v>P0-literature</x:v>
      </x:c>
      <x:c r="J12" s="27" t="str">
        <x:v>C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08" hidden="0" customHeight="1">
      <x:c r="A13" s="28" t="str">
        <x:v>M10</x:v>
      </x:c>
      <x:c r="B13" s="21" t="str">
        <x:v>Screening of ~466 000 bicyclic dienes</x:v>
      </x:c>
      <x:c r="C13" s="21" t="str">
        <x:v>Около 466 000 виртуальных бициклических диенов</x:v>
      </x:c>
      <x:c r="D13" s="21" t="str">
        <x:v>Расчётные показатели energy storage, barrier и absorption; top candidates</x:v>
      </x:c>
      <x:c r="E13" s="21" t="str">
        <x:v>Статья/SI PDF; полной машинно-читаемой матрицы не обнаружено</x:v>
      </x:c>
      <x:c r="F13" s="21" t="str">
        <x:v>Не подтверждён</x:v>
      </x:c>
      <x:c r="G13" s="21" t="str">
        <x:v>Условия Wiley/SI</x:v>
      </x:c>
      <x:c r="H13" s="21" t="str">
        <x:v>https://doi.org/10.1002/anie.202309543</x:v>
      </x:c>
      <x:c r="I13" s="28" t="str">
        <x:v>P1-literature</x:v>
      </x:c>
      <x:c r="J13" s="28" t="str">
        <x:v>C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6" hidden="0" customHeight="1">
      <x:c r="A14" s="27" t="str">
        <x:v>M11</x:v>
      </x:c>
      <x:c r="B14" s="22" t="str">
        <x:v>Deep4Chem experimental optical database</x:v>
      </x:c>
      <x:c r="C14" s="22" t="str">
        <x:v>Около 20 236 chromophore–environment combinations; 7 016 chromophores; 365 solvents; 17 solid matrices/states</x:v>
      </x:c>
      <x:c r="D14" s="22" t="str">
        <x:v>λabs,max; λem,max; extinction coefficient; bandwidth; fluorescence QY; lifetime; solvent/solid matrix; DOI; SMILES</x:v>
      </x:c>
      <x:c r="E14" s="22" t="str">
        <x:v>CSV</x:v>
      </x:c>
      <x:c r="F14" s="22" t="str">
        <x:v>Да</x:v>
      </x:c>
      <x:c r="G14" s="22" t="str">
        <x:v>CC BY 4.0</x:v>
      </x:c>
      <x:c r="H14" s="22" t="str">
        <x:v>https://figshare.com/articles/dataset/DB_for_chromophore/12045567</x:v>
      </x:c>
      <x:c r="I14" s="27" t="str">
        <x:v>P0</x:v>
      </x:c>
      <x:c r="J14" s="27" t="str">
        <x:v>A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6" hidden="0" customHeight="1">
      <x:c r="A15" s="28" t="str">
        <x:v>M12</x:v>
      </x:c>
      <x:c r="B15" s="21" t="str">
        <x:v>Comparative experimental/computational UV–Vis dataset</x:v>
      </x:c>
      <x:c r="C15" s="21" t="str">
        <x:v>8 488 исходных соединений; 7 726 валидных experimental λmax; архив около 370 MB</x:v>
      </x:c>
      <x:c r="D15" s="21" t="str">
        <x:v>Структуры; experimental UV–Vis λmax; computed attributes; PRISTINE subset</x:v>
      </x:c>
      <x:c r="E15" s="21" t="str">
        <x:v>Архив/таблицы</x:v>
      </x:c>
      <x:c r="F15" s="21" t="str">
        <x:v>Да</x:v>
      </x:c>
      <x:c r="G15" s="21" t="str">
        <x:v>CC BY 4.0</x:v>
      </x:c>
      <x:c r="H15" s="21" t="str">
        <x:v>https://figshare.com/articles/dataset/Comparative_dataset_of_experimental_and_computational_attributes_of_UV_vis_absorption_spectra/7619672</x:v>
      </x:c>
      <x:c r="I15" s="28" t="str">
        <x:v>P0</x:v>
      </x:c>
      <x:c r="J15" s="28" t="str">
        <x:v>A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32" hidden="0" customHeight="1">
      <x:c r="A16" s="27" t="str">
        <x:v>M13</x:v>
      </x:c>
      <x:c r="B16" s="22" t="str">
        <x:v>uvvisml unified repository</x:v>
      </x:c>
      <x:c r="C16" s="22" t="str">
        <x:v>Стандартизованные наборы Deep4Chem, ChemDataExtractor, ChemFluor, DyeAgg, DSSCDB и TD-DFT</x:v>
      </x:c>
      <x:c r="D16" s="22" t="str">
        <x:v>Спектральные свойства, структуры, train/validation/test splits</x:v>
      </x:c>
      <x:c r="E16" s="22" t="str">
        <x:v>Файлы данных + код</x:v>
      </x:c>
      <x:c r="F16" s="22" t="str">
        <x:v>Да</x:v>
      </x:c>
      <x:c r="G16" s="22" t="str">
        <x:v>Проверить LICENSE репозитория и лицензии исходных наборов</x:v>
      </x:c>
      <x:c r="H16" s="22" t="str">
        <x:v>https://github.com/learningmatter-mit/uvvisml</x:v>
      </x:c>
      <x:c r="I16" s="27" t="str">
        <x:v>P0</x:v>
      </x:c>
      <x:c r="J16" s="27" t="str">
        <x:v>A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32" hidden="0" customHeight="1">
      <x:c r="A17" s="28" t="str">
        <x:v>M14</x:v>
      </x:c>
      <x:c r="B17" s="21" t="str">
        <x:v>PhotoChemCAD databases</x:v>
      </x:c>
      <x:c r="C17" s="21" t="str">
        <x:v>Common Compounds Database &gt;300 соединений; дополнительные porphyrin/chlorophyll collections</x:v>
      </x:c>
      <x:c r="D17" s="21" t="str">
        <x:v>Полные absorption/fluorescence spectra и molar absorptivity для части соединений</x:v>
      </x:c>
      <x:c r="E17" s="21" t="str">
        <x:v>Собственный .db через Windows application</x:v>
      </x:c>
      <x:c r="F17" s="21" t="str">
        <x:v>Частично</x:v>
      </x:c>
      <x:c r="G17" s="21" t="str">
        <x:v>Условия сайта/ПО</x:v>
      </x:c>
      <x:c r="H17" s="21" t="str">
        <x:v>https://www.photochemcad.com/download</x:v>
      </x:c>
      <x:c r="I17" s="28" t="str">
        <x:v>P1</x:v>
      </x:c>
      <x:c r="J17" s="28" t="str">
        <x:v>B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08" hidden="0" customHeight="1">
      <x:c r="A18" s="27" t="str">
        <x:v>M15</x:v>
      </x:c>
      <x:c r="B18" s="22" t="str">
        <x:v>QCDGE</x:v>
      </x:c>
      <x:c r="C18" s="22" t="str">
        <x:v>443 106 малых C/N/O/F молекул, до 10 тяжёлых атомов</x:v>
      </x:c>
      <x:c r="D18" s="22" t="str">
        <x:v>27 ground/excited-state properties; TD-DFT excitation energies и oscillator strengths</x:v>
      </x:c>
      <x:c r="E18" s="22" t="str">
        <x:v>CSV/HDF5</x:v>
      </x:c>
      <x:c r="F18" s="22" t="str">
        <x:v>Да</x:v>
      </x:c>
      <x:c r="G18" s="22" t="str">
        <x:v>Проверить условия страницы данных</x:v>
      </x:c>
      <x:c r="H18" s="22" t="str">
        <x:v>https://langroup.site/QCDGE/</x:v>
      </x:c>
      <x:c r="I18" s="27" t="str">
        <x:v>P1</x:v>
      </x:c>
      <x:c r="J18" s="27" t="str">
        <x:v>A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08" hidden="0" customHeight="1">
      <x:c r="A19" s="28" t="str">
        <x:v>M16</x:v>
      </x:c>
      <x:c r="B19" s="21" t="str">
        <x:v>QUESTDB</x:v>
      </x:c>
      <x:c r="C19" s="21" t="str">
        <x:v>Архив около 44 MB; curated reference excitations для небольших/средних молекул</x:v>
      </x:c>
      <x:c r="D19" s="21" t="str">
        <x:v>Vertical excitation energies; oscillator strengths; geometries; method metadata</x:v>
      </x:c>
      <x:c r="E19" s="21" t="str">
        <x:v>TAR/JSON/XLSX + структуры</x:v>
      </x:c>
      <x:c r="F19" s="21" t="str">
        <x:v>Да</x:v>
      </x:c>
      <x:c r="G19" s="21" t="str">
        <x:v>CC BY-SA 4.0 (GitHub)</x:v>
      </x:c>
      <x:c r="H19" s="21" t="str">
        <x:v>https://github.com/pfloos/QUESTDB</x:v>
      </x:c>
      <x:c r="I19" s="28" t="str">
        <x:v>P1</x:v>
      </x:c>
      <x:c r="J19" s="28" t="str">
        <x:v>A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08" hidden="0" customHeight="1">
      <x:c r="A20" s="27" t="str">
        <x:v>M17</x:v>
      </x:c>
      <x:c r="B20" s="22" t="str">
        <x:v>PubChemQC B3LYP/PM6</x:v>
      </x:c>
      <x:c r="C20" s="22" t="str">
        <x:v>Порядка 86 млн молекул; полный объём десятки TB</x:v>
      </x:c>
      <x:c r="D20" s="22" t="str">
        <x:v>Ground-state quantum chemistry, структуры, электронные свойства; готовые поднаборы</x:v>
      </x:c>
      <x:c r="E20" s="22" t="str">
        <x:v>JSON/GAMESS/database archives</x:v>
      </x:c>
      <x:c r="F20" s="22" t="str">
        <x:v>Да, очень большой</x:v>
      </x:c>
      <x:c r="G20" s="22" t="str">
        <x:v>CC BY 4.0</x:v>
      </x:c>
      <x:c r="H20" s="22" t="str">
        <x:v>https://nakatamaho.riken.jp/pubchemqc.riken.jp/b3lyp_pm6_datasets.html</x:v>
      </x:c>
      <x:c r="I20" s="27" t="str">
        <x:v>P2</x:v>
      </x:c>
      <x:c r="J20" s="27" t="str">
        <x:v>A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84" hidden="0" customHeight="1">
      <x:c r="A21" s="28" t="str">
        <x:v>M18</x:v>
      </x:c>
      <x:c r="B21" s="21" t="str">
        <x:v>ORNL_AISD-Ex</x:v>
      </x:c>
      <x:c r="C21" s="21" t="str">
        <x:v>&gt;10.5 млн органических молекул; &gt;283 GB распаковано</x:v>
      </x:c>
      <x:c r="D21" s="21" t="str">
        <x:v>Excitation energies и oscillator strengths TD-DFTB</x:v>
      </x:c>
      <x:c r="E21" s="21" t="str">
        <x:v>1001 tar.gz через Globus</x:v>
      </x:c>
      <x:c r="F21" s="21" t="str">
        <x:v>Да, HPC-scale</x:v>
      </x:c>
      <x:c r="G21" s="21" t="str">
        <x:v>Условия ORNL DOI record</x:v>
      </x:c>
      <x:c r="H21" s="21" t="str">
        <x:v>https://doi.ccs.ornl.gov/dataset/13423cfb-df80-541c-a3d9-a2f042fbe507</x:v>
      </x:c>
      <x:c r="I21" s="28" t="str">
        <x:v>P2</x:v>
      </x:c>
      <x:c r="J21" s="28" t="str">
        <x:v>A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e53ffb8d8ab49e4"/>
  </x:tableParts>
</x:worksheet>
</file>

<file path=xl/worksheets/sheet4.xml><?xml version="1.0" encoding="utf-8"?>
<x:worksheet xmlns:x="http://schemas.openxmlformats.org/spreadsheetml/2006/main">
  <x:sheetPr>
    <x:tabColor rgb="FF7A9E7E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7" hidden="0" customWidth="1"/>
    <x:col min="2" max="2" width="35" hidden="0" customWidth="1"/>
    <x:col min="3" max="3" width="39" hidden="0" customWidth="1"/>
    <x:col min="4" max="4" width="56" hidden="0" customWidth="1"/>
    <x:col min="5" max="5" width="25" hidden="0" customWidth="1"/>
    <x:col min="6" max="6" width="18" hidden="0" customWidth="1"/>
    <x:col min="7" max="7" width="29" hidden="0" customWidth="1"/>
    <x:col min="8" max="8" width="45" hidden="0" customWidth="1"/>
    <x:col min="9" max="9" width="14" hidden="0" customWidth="1"/>
    <x:col min="10" max="10" width="9" hidden="0" customWidth="1"/>
  </x:cols>
  <x:sheetData>
    <x:row r="1" ht="26" customHeight="1">
      <x:c r="A1" s="2" t="str">
        <x:v>UV-фильтры, кожное применение и безопасность</x:v>
      </x:c>
      <x:c r="B1" s="2"/>
      <x:c r="C1" s="2"/>
      <x:c r="D1" s="2"/>
      <x:c r="E1" s="2"/>
      <x:c r="F1" s="2"/>
      <x:c r="G1" s="2"/>
      <x:c r="H1" s="2"/>
      <x:c r="I1" s="2"/>
      <x:c r="J1" s="2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" t="str">
        <x:v>Короткая рабочая выборка; подробности и ограничения — на листе Все_ресурсы</x:v>
      </x:c>
      <x:c r="B2" s="4"/>
      <x:c r="C2" s="4"/>
      <x:c r="D2" s="4"/>
      <x:c r="E2" s="4"/>
      <x:c r="F2" s="4"/>
      <x:c r="G2" s="4"/>
      <x:c r="H2" s="4"/>
      <x:c r="I2" s="4"/>
      <x:c r="J2" s="4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6" customHeight="1">
      <x:c r="A3" s="16" t="str">
        <x:v>ID</x:v>
      </x:c>
      <x:c r="B3" s="16" t="str">
        <x:v>Ресурс</x:v>
      </x:c>
      <x:c r="C3" s="16" t="str">
        <x:v>Охват</x:v>
      </x:c>
      <x:c r="D3" s="16" t="str">
        <x:v>Ключевые поля</x:v>
      </x:c>
      <x:c r="E3" s="16" t="str">
        <x:v>Формат</x:v>
      </x:c>
      <x:c r="F3" s="16" t="str">
        <x:v>Bulk</x:v>
      </x:c>
      <x:c r="G3" s="16" t="str">
        <x:v>Лицензия</x:v>
      </x:c>
      <x:c r="H3" s="16" t="str">
        <x:v>URL</x:v>
      </x:c>
      <x:c r="I3" s="16" t="str">
        <x:v>Приоритет</x:v>
      </x:c>
      <x:c r="J3" s="16" t="str">
        <x:v>Grade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20" hidden="0" customHeight="1">
      <x:c r="A4" s="27" t="str">
        <x:v>U01</x:v>
      </x:c>
      <x:c r="B4" s="22" t="str">
        <x:v>EU CosIng + Annex VI</x:v>
      </x:c>
      <x:c r="C4" s="22" t="str">
        <x:v>Разрешённые в ЕС UV-фильтры, INCI/CAS/EC, ограничения и исторические записи</x:v>
      </x:c>
      <x:c r="D4" s="22" t="str">
        <x:v>Function/status; Annex VI entry; максимальная концентрация и условия применения</x:v>
      </x:c>
      <x:c r="E4" s="22" t="str">
        <x:v>Web; экспорт интерфейса/документы EUR-Lex</x:v>
      </x:c>
      <x:c r="F4" s="22" t="str">
        <x:v>Частично</x:v>
      </x:c>
      <x:c r="G4" s="22" t="str">
        <x:v>EU reuse/legal terms; правовой первоисточник — Regulation 1223/2009</x:v>
      </x:c>
      <x:c r="H4" s="22" t="str">
        <x:v>https://ec.europa.eu/growth/tools-databases/cosing/</x:v>
      </x:c>
      <x:c r="I4" s="27" t="str">
        <x:v>P0</x:v>
      </x:c>
      <x:c r="J4" s="27" t="str">
        <x:v>B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08" hidden="0" customHeight="1">
      <x:c r="A5" s="28" t="str">
        <x:v>U02</x:v>
      </x:c>
      <x:c r="B5" s="21" t="str">
        <x:v>cosing-kg</x:v>
      </x:c>
      <x:c r="C5" s="21" t="str">
        <x:v>24 094 ingredient rows + Annex II–VI; RDF knowledge graph</x:v>
      </x:c>
      <x:c r="D5" s="21" t="str">
        <x:v>INCI, CAS/EC, declared functions, annex restrictions, часть InChIKey mappings</x:v>
      </x:c>
      <x:c r="E5" s="21" t="str">
        <x:v>RDF + DVC/build code</x:v>
      </x:c>
      <x:c r="F5" s="21" t="str">
        <x:v>Да</x:v>
      </x:c>
      <x:c r="G5" s="21" t="str">
        <x:v>Проверить репозиторий и права на исходные данные</x:v>
      </x:c>
      <x:c r="H5" s="21" t="str">
        <x:v>https://github.com/biobricks-ai/cosing-kg</x:v>
      </x:c>
      <x:c r="I5" s="28" t="str">
        <x:v>P1</x:v>
      </x:c>
      <x:c r="J5" s="28" t="str">
        <x:v>A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32" hidden="0" customHeight="1">
      <x:c r="A6" s="27" t="str">
        <x:v>U03</x:v>
      </x:c>
      <x:c r="B6" s="22" t="str">
        <x:v>FDA OTC Monograph M020 + administrative orders</x:v>
      </x:c>
      <x:c r="C6" s="22" t="str">
        <x:v>Разрешённые sunscreen active ingredients, концентрации, маркировка и тестовые условия</x:v>
      </x:c>
      <x:c r="D6" s="22" t="str">
        <x:v>Active ingredient; allowable concentration; dosage form/label/testing conditions; amendment history</x:v>
      </x:c>
      <x:c r="E6" s="22" t="str">
        <x:v>PDF/HTML</x:v>
      </x:c>
      <x:c r="F6" s="22" t="str">
        <x:v>Небольшой список</x:v>
      </x:c>
      <x:c r="G6" s="22" t="str">
        <x:v>Материалы правительства США</x:v>
      </x:c>
      <x:c r="H6" s="22" t="str">
        <x:v>https://www.accessdata.fda.gov/scripts/cder/omuf/index.cfm</x:v>
      </x:c>
      <x:c r="I6" s="27" t="str">
        <x:v>P0</x:v>
      </x:c>
      <x:c r="J6" s="27" t="str">
        <x:v>B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32" hidden="0" customHeight="1">
      <x:c r="A7" s="28" t="str">
        <x:v>U04</x:v>
      </x:c>
      <x:c r="B7" s="21" t="str">
        <x:v>openFDA Drug Label</x:v>
      </x:c>
      <x:c r="C7" s="21" t="str">
        <x:v>Маркировки OTC sunscreen и других drug products</x:v>
      </x:c>
      <x:c r="D7" s="21" t="str">
        <x:v>Active ingredients; inactive ingredients; SPF/uses/warnings/marketing metadata, когда указаны на label</x:v>
      </x:c>
      <x:c r="E7" s="21" t="str">
        <x:v>JSON bulk/API</x:v>
      </x:c>
      <x:c r="F7" s="21" t="str">
        <x:v>Да</x:v>
      </x:c>
      <x:c r="G7" s="21" t="str">
        <x:v>openFDA terms; проверять provenance поля</x:v>
      </x:c>
      <x:c r="H7" s="21" t="str">
        <x:v>https://open.fda.gov/apis/drug/label/download/</x:v>
      </x:c>
      <x:c r="I7" s="28" t="str">
        <x:v>P0</x:v>
      </x:c>
      <x:c r="J7" s="28" t="str">
        <x:v>A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84" hidden="0" customHeight="1">
      <x:c r="A8" s="27" t="str">
        <x:v>U05</x:v>
      </x:c>
      <x:c r="B8" s="22" t="str">
        <x:v>FDALabel</x:v>
      </x:c>
      <x:c r="C8" s="22" t="str">
        <x:v>Drug labels, включая sunscreen products</x:v>
      </x:c>
      <x:c r="D8" s="22" t="str">
        <x:v>Product; active ingredients; strengths; SPL sections; label claims</x:v>
      </x:c>
      <x:c r="E8" s="22" t="str">
        <x:v>CSV/Excel export</x:v>
      </x:c>
      <x:c r="F8" s="22" t="str">
        <x:v>Да, результаты запроса</x:v>
      </x:c>
      <x:c r="G8" s="22" t="str">
        <x:v>FDA terms</x:v>
      </x:c>
      <x:c r="H8" s="22" t="str">
        <x:v>https://nctr-crs.fda.gov/fdalabel/ui/search</x:v>
      </x:c>
      <x:c r="I8" s="27" t="str">
        <x:v>P1</x:v>
      </x:c>
      <x:c r="J8" s="27" t="str">
        <x:v>A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44" hidden="0" customHeight="1">
      <x:c r="A9" s="28" t="str">
        <x:v>U06</x:v>
      </x:c>
      <x:c r="B9" s="21" t="str">
        <x:v>SCCS Opinions</x:v>
      </x:c>
      <x:c r="C9" s="21" t="str">
        <x:v>Отдельные UV-фильтры и косметические ингредиенты</x:v>
      </x:c>
      <x:c r="D9" s="21" t="str">
        <x:v>Purity/impurities; exposure; dermal absorption; systemic toxicity; irritation/sensitization/phototoxicity; margin of safety</x:v>
      </x:c>
      <x:c r="E9" s="21" t="str">
        <x:v>PDF по ингредиентам</x:v>
      </x:c>
      <x:c r="F9" s="21" t="str">
        <x:v>Нет единой ML-таблицы</x:v>
      </x:c>
      <x:c r="G9" s="21" t="str">
        <x:v>European Commission reuse terms</x:v>
      </x:c>
      <x:c r="H9" s="21" t="str">
        <x:v>https://health.ec.europa.eu/scientific-committees/scientific-committee-consumer-safety-sccs/sccs-opinions_en</x:v>
      </x:c>
      <x:c r="I9" s="28" t="str">
        <x:v>P0</x:v>
      </x:c>
      <x:c r="J9" s="28" t="str">
        <x:v>B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6" hidden="0" customHeight="1">
      <x:c r="A10" s="27" t="str">
        <x:v>U07</x:v>
      </x:c>
      <x:c r="B10" s="22" t="str">
        <x:v>NICE Data Sets (formerly ICE)</x:v>
      </x:c>
      <x:c r="C10" s="22" t="str">
        <x:v>Skin sensitization, skin irritation/corrosion, acute dermal toxicity, ADME, physicochemical properties, cHTS</x:v>
      </x:c>
      <x:c r="D10" s="22" t="str">
        <x:v>Экспериментальные in vivo/in vitro endpoints; harmonized calls; OPERA predictions; provenance</x:v>
      </x:c>
      <x:c r="E10" s="22" t="str">
        <x:v>XLSX/ZIP/JSON API</x:v>
      </x:c>
      <x:c r="F10" s="22" t="str">
        <x:v>Да</x:v>
      </x:c>
      <x:c r="G10" s="22" t="str">
        <x:v>Публично, без ограничений использования по описанию NICE; сохранять source metadata</x:v>
      </x:c>
      <x:c r="H10" s="22" t="str">
        <x:v>https://ice.ntp.niehs.nih.gov/downloads/DataonICE/</x:v>
      </x:c>
      <x:c r="I10" s="27" t="str">
        <x:v>P0</x:v>
      </x:c>
      <x:c r="J10" s="27" t="str">
        <x:v>A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32" hidden="0" customHeight="1">
      <x:c r="A11" s="28" t="str">
        <x:v>U08</x:v>
      </x:c>
      <x:c r="B11" s="21" t="str">
        <x:v>SARA-ICE database/model</x:v>
      </x:c>
      <x:c r="C11" s="21" t="str">
        <x:v>&gt;400 chemicals</x:v>
      </x:c>
      <x:c r="D11" s="21" t="str">
        <x:v>Human/LLNA/in vitro DPRA, kDPRA, KeratinoSens, h-CLAT, U-SENS; predicted human ED01 with uncertainty</x:v>
      </x:c>
      <x:c r="E11" s="21" t="str">
        <x:v>Read-only XLSX; app export XLSX/CSV</x:v>
      </x:c>
      <x:c r="F11" s="21" t="str">
        <x:v>Да</x:v>
      </x:c>
      <x:c r="G11" s="21" t="str">
        <x:v>NICEATM public resource</x:v>
      </x:c>
      <x:c r="H11" s="21" t="str">
        <x:v>https://ntp.niehs.nih.gov/whatwestudy/niceatm/test-method-evaluations/skin-sens/da/SARA-ICE</x:v>
      </x:c>
      <x:c r="I11" s="28" t="str">
        <x:v>P0</x:v>
      </x:c>
      <x:c r="J11" s="28" t="str">
        <x:v>A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20" hidden="0" customHeight="1">
      <x:c r="A12" s="27" t="str">
        <x:v>U09</x:v>
      </x:c>
      <x:c r="B12" s="22" t="str">
        <x:v>Human Predictive Patch Test database</x:v>
      </x:c>
      <x:c r="C12" s="22" t="str">
        <x:v>2 277 tests; 1 366 unique substances; 1 555 publications</x:v>
      </x:c>
      <x:c r="D12" s="22" t="str">
        <x:v>HRIPT/HMT concentrations, doses, subject counts, positives, potency/classification metadata</x:v>
      </x:c>
      <x:c r="E12" s="22" t="str">
        <x:v>XLSX</x:v>
      </x:c>
      <x:c r="F12" s="22" t="str">
        <x:v>Да</x:v>
      </x:c>
      <x:c r="G12" s="22" t="str">
        <x:v>NICEATM public resource</x:v>
      </x:c>
      <x:c r="H12" s="22" t="str">
        <x:v>https://ntp.niehs.nih.gov/whatwestudy/niceatm/test-method-evaluations/skin-sens/hppt</x:v>
      </x:c>
      <x:c r="I12" s="27" t="str">
        <x:v>P0</x:v>
      </x:c>
      <x:c r="J12" s="27" t="str">
        <x:v>A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96" hidden="0" customHeight="1">
      <x:c r="A13" s="28" t="str">
        <x:v>U10</x:v>
      </x:c>
      <x:c r="B13" s="21" t="str">
        <x:v>SkinSensDB</x:v>
      </x:c>
      <x:c r="C13" s="21" t="str">
        <x:v>Около 710 chemicals и 4 928 assay values</x:v>
      </x:c>
      <x:c r="D13" s="21" t="str">
        <x:v>DPRA/PPRA; KeratinoSens/LuSens; h-CLAT; LLNA; identifiers/SMILES</x:v>
      </x:c>
      <x:c r="E13" s="21" t="str">
        <x:v>Excel export; SDF per compound</x:v>
      </x:c>
      <x:c r="F13" s="21" t="str">
        <x:v>Да, если сайт доступен</x:v>
      </x:c>
      <x:c r="G13" s="21" t="str">
        <x:v>Проверить условия сайта/публикации</x:v>
      </x:c>
      <x:c r="H13" s="21" t="str">
        <x:v>http://cwtung.kmu.edu.tw/skinsensdb</x:v>
      </x:c>
      <x:c r="I13" s="28" t="str">
        <x:v>P1</x:v>
      </x:c>
      <x:c r="J13" s="28" t="str">
        <x:v>B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6" hidden="0" customHeight="1">
      <x:c r="A14" s="27" t="str">
        <x:v>U11</x:v>
      </x:c>
      <x:c r="B14" s="22" t="str">
        <x:v>HuskinDB</x:v>
      </x:c>
      <x:c r="C14" s="22" t="str">
        <x:v>546 Kp values; 251 compounds; 94 publications (версия 2020)</x:v>
      </x:c>
      <x:c r="D14" s="22" t="str">
        <x:v>logKp, flux/concentration и подробные protocol conditions; canonical SMILES; skin source/layer, vehicle, pH, temperature</x:v>
      </x:c>
      <x:c r="E14" s="22" t="str">
        <x:v>CSV/Excel from tables</x:v>
      </x:c>
      <x:c r="F14" s="22" t="str">
        <x:v>Да</x:v>
      </x:c>
      <x:c r="G14" s="22" t="str">
        <x:v>Проверить Synapse/сайт; статья open</x:v>
      </x:c>
      <x:c r="H14" s="22" t="str">
        <x:v>https://www.huskindb.drug-design.de/</x:v>
      </x:c>
      <x:c r="I14" s="27" t="str">
        <x:v>P0</x:v>
      </x:c>
      <x:c r="J14" s="27" t="str">
        <x:v>A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96" hidden="0" customHeight="1">
      <x:c r="A15" s="28" t="str">
        <x:v>U12</x:v>
      </x:c>
      <x:c r="B15" s="21" t="str">
        <x:v>SkinPiX</x:v>
      </x:c>
      <x:c r="C15" s="21" t="str">
        <x:v>Систематический review данных 2012–2021; cleaned Excel</x:v>
      </x:c>
      <x:c r="D15" s="21" t="str">
        <x:v>Steady-state flux, maximum flux, lag time, Kp и protocol metadata</x:v>
      </x:c>
      <x:c r="E15" s="21" t="str">
        <x:v>XLSX + README</x:v>
      </x:c>
      <x:c r="F15" s="21" t="str">
        <x:v>Да</x:v>
      </x:c>
      <x:c r="G15" s="21" t="str">
        <x:v>Условия Recherche Data Gouv record</x:v>
      </x:c>
      <x:c r="H15" s="21" t="str">
        <x:v>https://entrepot.recherche.data.gouv.fr/dataset.xhtml?persistentId=doi:10.57745/7FHQOY</x:v>
      </x:c>
      <x:c r="I15" s="28" t="str">
        <x:v>P0</x:v>
      </x:c>
      <x:c r="J15" s="28" t="str">
        <x:v>A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84" hidden="0" customHeight="1">
      <x:c r="A16" s="27" t="str">
        <x:v>U13</x:v>
      </x:c>
      <x:c r="B16" s="22" t="str">
        <x:v>Updated Jmax/Kp human epidermis dataset</x:v>
      </x:c>
      <x:c r="C16" s="22" t="str">
        <x:v>Human epidermis, aqueous infinite-dose experiments; curated Jmax/Kp</x:v>
      </x:c>
      <x:c r="D16" s="22" t="str">
        <x:v>Jmax, Kp, structures/identifiers и экспериментальный контекст</x:v>
      </x:c>
      <x:c r="E16" s="22" t="str">
        <x:v>Download All archive/tables</x:v>
      </x:c>
      <x:c r="F16" s="22" t="str">
        <x:v>Да</x:v>
      </x:c>
      <x:c r="G16" s="22" t="str">
        <x:v>CC BY 4.0</x:v>
      </x:c>
      <x:c r="H16" s="22" t="str">
        <x:v>https://data.mendeley.com/datasets/8bs7hb2wj2/1</x:v>
      </x:c>
      <x:c r="I16" s="27" t="str">
        <x:v>P1</x:v>
      </x:c>
      <x:c r="J16" s="27" t="str">
        <x:v>A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96" hidden="0" customHeight="1">
      <x:c r="A17" s="28" t="str">
        <x:v>U14</x:v>
      </x:c>
      <x:c r="B17" s="21" t="str">
        <x:v>Chemical absorption in human skin (Dryad)</x:v>
      </x:c>
      <x:c r="C17" s="21" t="str">
        <x:v>73 chemicals</x:v>
      </x:c>
      <x:c r="D17" s="21" t="str">
        <x:v>Diffusion, permeability и partition coefficients + физико-химические descriptors</x:v>
      </x:c>
      <x:c r="E17" s="21" t="str">
        <x:v>Excel/files</x:v>
      </x:c>
      <x:c r="F17" s="21" t="str">
        <x:v>Да</x:v>
      </x:c>
      <x:c r="G17" s="21" t="str">
        <x:v>Условия Dryad record</x:v>
      </x:c>
      <x:c r="H17" s="21" t="str">
        <x:v>https://datadryad.org/dataset/doi:10.5061/dryad.dfn2z3581</x:v>
      </x:c>
      <x:c r="I17" s="28" t="str">
        <x:v>P1</x:v>
      </x:c>
      <x:c r="J17" s="28" t="str">
        <x:v>A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20" hidden="0" customHeight="1">
      <x:c r="A18" s="27" t="str">
        <x:v>U15</x:v>
      </x:c>
      <x:c r="B18" s="22" t="str">
        <x:v>EDETOX</x:v>
      </x:c>
      <x:c r="C18" s="22" t="str">
        <x:v>Около 2 501 records; разные species/formulations; обновление примерно до 2016</x:v>
      </x:c>
      <x:c r="D18" s="22" t="str">
        <x:v>In vitro/in vivo dermal absorption, formulation and protocol context</x:v>
      </x:c>
      <x:c r="E18" s="22" t="str">
        <x:v>Web filters + Excel export</x:v>
      </x:c>
      <x:c r="F18" s="22" t="str">
        <x:v>Да/по запросу</x:v>
      </x:c>
      <x:c r="G18" s="22" t="str">
        <x:v>Проверить условия Newcastle resource</x:v>
      </x:c>
      <x:c r="H18" s="22" t="str">
        <x:v>https://research.ncl.ac.uk/edetox/theedetoxdatabase/</x:v>
      </x:c>
      <x:c r="I18" s="27" t="str">
        <x:v>P2</x:v>
      </x:c>
      <x:c r="J18" s="27" t="str">
        <x:v>B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84" hidden="0" customHeight="1">
      <x:c r="A19" s="28" t="str">
        <x:v>U16</x:v>
      </x:c>
      <x:c r="B19" s="21" t="str">
        <x:v>QsarDB phototoxicity archive QDB.139</x:v>
      </x:c>
      <x:c r="C19" s="21" t="str">
        <x:v>53 compounds; 3T3 NRU phototoxicity</x:v>
      </x:c>
      <x:c r="D19" s="21" t="str">
        <x:v>Phototoxicity endpoint; training/test split; descriptors/model metadata</x:v>
      </x:c>
      <x:c r="E19" s="21" t="str">
        <x:v>QDB ZIP около 12.6 KB</x:v>
      </x:c>
      <x:c r="F19" s="21" t="str">
        <x:v>Да</x:v>
      </x:c>
      <x:c r="G19" s="21" t="str">
        <x:v>Creative Commons — точный вариант указан в записи</x:v>
      </x:c>
      <x:c r="H19" s="21" t="str">
        <x:v>https://qsardb.org/repository/handle/10967/139</x:v>
      </x:c>
      <x:c r="I19" s="28" t="str">
        <x:v>P1</x:v>
      </x:c>
      <x:c r="J19" s="28" t="str">
        <x:v>A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96" hidden="0" customHeight="1">
      <x:c r="A20" s="27" t="str">
        <x:v>U17</x:v>
      </x:c>
      <x:c r="B20" s="22" t="str">
        <x:v>PhotoChem Reference Chemical Database</x:v>
      </x:c>
      <x:c r="C20" s="22" t="str">
        <x:v>251 compounds; in vitro, in vivo и human phototoxicity evidence</x:v>
      </x:c>
      <x:c r="D20" s="22" t="str">
        <x:v>Reference classifications/evidence for phototoxicity and photoallergy</x:v>
      </x:c>
      <x:c r="E20" s="22" t="str">
        <x:v>Article tables/supplement</x:v>
      </x:c>
      <x:c r="F20" s="22" t="str">
        <x:v>Машинно-читаемая полная выгрузка не подтверждена</x:v>
      </x:c>
      <x:c r="G20" s="22" t="str">
        <x:v>Условия статьи/supplement</x:v>
      </x:c>
      <x:c r="H20" s="22" t="str">
        <x:v>https://doi.org/10.3390/toxics13070545</x:v>
      </x:c>
      <x:c r="I20" s="27" t="str">
        <x:v>P0-literature</x:v>
      </x:c>
      <x:c r="J20" s="27" t="str">
        <x:v>C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20" hidden="0" customHeight="1">
      <x:c r="A21" s="28" t="str">
        <x:v>U18</x:v>
      </x:c>
      <x:c r="B21" s="21" t="str">
        <x:v>JRC QSAR Model Database</x:v>
      </x:c>
      <x:c r="C21" s="21" t="str">
        <x:v>QMRF records и для части моделей training/test structures/data</x:v>
      </x:c>
      <x:c r="D21" s="21" t="str">
        <x:v>Разные endpoints, включая skin-related models; applicability domain и validation documentation</x:v>
      </x:c>
      <x:c r="E21" s="21" t="str">
        <x:v>ZIP/QMRF/SDF</x:v>
      </x:c>
      <x:c r="F21" s="21" t="str">
        <x:v>Да, по моделям</x:v>
      </x:c>
      <x:c r="G21" s="21" t="str">
        <x:v>European Commission reuse notice</x:v>
      </x:c>
      <x:c r="H21" s="21" t="str">
        <x:v>https://doi.org/10.2905/JRC.FXAJT5G</x:v>
      </x:c>
      <x:c r="I21" s="28" t="str">
        <x:v>P2</x:v>
      </x:c>
      <x:c r="J21" s="28" t="str">
        <x:v>A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20" hidden="0" customHeight="1">
      <x:c r="A22" s="27" t="str">
        <x:v>U19</x:v>
      </x:c>
      <x:c r="B22" s="22" t="str">
        <x:v>OECD eChemPortal</x:v>
      </x:c>
      <x:c r="C22" s="22" t="str">
        <x:v>Physchem, environmental fate, ecotox и human health endpoints из множества источников</x:v>
      </x:c>
      <x:c r="D22" s="22" t="str">
        <x:v>Skin irritation/sensitization и другие OECD-harmonized study summaries</x:v>
      </x:c>
      <x:c r="E22" s="22" t="str">
        <x:v>Web results; интерактивная выгрузка</x:v>
      </x:c>
      <x:c r="F22" s="22" t="str">
        <x:v>Нет простого единого bulk dump</x:v>
      </x:c>
      <x:c r="G22" s="22" t="str">
        <x:v>Условия каждой source database</x:v>
      </x:c>
      <x:c r="H22" s="22" t="str">
        <x:v>https://www.echemportal.org/</x:v>
      </x:c>
      <x:c r="I22" s="27" t="str">
        <x:v>P2</x:v>
      </x:c>
      <x:c r="J22" s="27" t="str">
        <x:v>B</x:v>
      </x:c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20" hidden="0" customHeight="1">
      <x:c r="A23" s="28" t="str">
        <x:v>U20</x:v>
      </x:c>
      <x:c r="B23" s="21" t="str">
        <x:v>EPA CompTox Chemicals Dashboard</x:v>
      </x:c>
      <x:c r="C23" s="21" t="str">
        <x:v>Миллионы substances; batch search до 10 000 идентификаторов за запрос</x:v>
      </x:c>
      <x:c r="D23" s="21" t="str">
        <x:v>Structures/DTXSID; physchem; exposure; ToxCast; OPERA predictions; links to toxicity records</x:v>
      </x:c>
      <x:c r="E23" s="21" t="str">
        <x:v>CSV/Excel/SDF export</x:v>
      </x:c>
      <x:c r="F23" s="21" t="str">
        <x:v>Да, batch/export/API</x:v>
      </x:c>
      <x:c r="G23" s="21" t="str">
        <x:v>EPA public data; учитывать licenses linked sources</x:v>
      </x:c>
      <x:c r="H23" s="21" t="str">
        <x:v>https://comptox.epa.gov/dashboard/</x:v>
      </x:c>
      <x:c r="I23" s="28" t="str">
        <x:v>P0</x:v>
      </x:c>
      <x:c r="J23" s="28" t="str">
        <x:v>A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20" hidden="0" customHeight="1">
      <x:c r="A24" s="27" t="str">
        <x:v>U21</x:v>
      </x:c>
      <x:c r="B24" s="22" t="str">
        <x:v>EPA CPDat / ChemExpo</x:v>
      </x:c>
      <x:c r="C24" s="22" t="str">
        <x:v>Тысячи продуктов и ingredients; harmonized product/use/function categories, включая sunscreen</x:v>
      </x:c>
      <x:c r="D24" s="22" t="str">
        <x:v>Product composition/list presence; product use category; functional use; DTXSID mappings</x:v>
      </x:c>
      <x:c r="E24" s="22" t="str">
        <x:v>Bulk release/API/CSV</x:v>
      </x:c>
      <x:c r="F24" s="22" t="str">
        <x:v>Да</x:v>
      </x:c>
      <x:c r="G24" s="22" t="str">
        <x:v>EPA public data; release-specific terms</x:v>
      </x:c>
      <x:c r="H24" s="22" t="str">
        <x:v>https://www.epa.gov/chemical-research/chemical-and-products-database-cpdat</x:v>
      </x:c>
      <x:c r="I24" s="27" t="str">
        <x:v>P0</x:v>
      </x:c>
      <x:c r="J24" s="27" t="str">
        <x:v>A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20" hidden="0" customHeight="1">
      <x:c r="A25" s="28" t="str">
        <x:v>U22</x:v>
      </x:c>
      <x:c r="B25" s="21" t="str">
        <x:v>Open Beauty Facts</x:v>
      </x:c>
      <x:c r="C25" s="21" t="str">
        <x:v>Косметические продукты разных стран; ingredient lists, claims и изображения</x:v>
      </x:c>
      <x:c r="D25" s="21" t="str">
        <x:v>Product names/categories; ingredients; allergens; labels; часть SPF claims</x:v>
      </x:c>
      <x:c r="E25" s="21" t="str">
        <x:v>CSV bulk + API</x:v>
      </x:c>
      <x:c r="F25" s="21" t="str">
        <x:v>Да</x:v>
      </x:c>
      <x:c r="G25" s="21" t="str">
        <x:v>ODbL</x:v>
      </x:c>
      <x:c r="H25" s="21" t="str">
        <x:v>https://world.openbeautyfacts.org/data</x:v>
      </x:c>
      <x:c r="I25" s="28" t="str">
        <x:v>P1</x:v>
      </x:c>
      <x:c r="J25" s="28" t="str">
        <x:v>A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44" hidden="0" customHeight="1">
      <x:c r="A26" s="27" t="str">
        <x:v>U23</x:v>
      </x:c>
      <x:c r="B26" s="22" t="str">
        <x:v>PubChem</x:v>
      </x:c>
      <x:c r="C26" s="22" t="str">
        <x:v>Structures, identifiers, computed properties, depositor annotations и links</x:v>
      </x:c>
      <x:c r="D26" s="22" t="str">
        <x:v>CID, canonical/isomeric structure, InChIKey, formula, MW, XlogP, synonyms, selected bioassays/safety records</x:v>
      </x:c>
      <x:c r="E26" s="22" t="str">
        <x:v>SDF/CSV/JSON/JSONL/XML; PUG REST/FTP</x:v>
      </x:c>
      <x:c r="F26" s="22" t="str">
        <x:v>Да</x:v>
      </x:c>
      <x:c r="G26" s="22" t="str">
        <x:v>Public domain-like NCBI usage; уважать rights linked depositors</x:v>
      </x:c>
      <x:c r="H26" s="22" t="str">
        <x:v>https://pubchem.ncbi.nlm.nih.gov/docs/downloads</x:v>
      </x:c>
      <x:c r="I26" s="27" t="str">
        <x:v>P0</x:v>
      </x:c>
      <x:c r="J26" s="27" t="str">
        <x:v>A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44" hidden="0" customHeight="1">
      <x:c r="A27" s="28" t="str">
        <x:v>U24</x:v>
      </x:c>
      <x:c r="B27" s="21" t="str">
        <x:v>Cosmetic Ingredient Review (CIR)</x:v>
      </x:c>
      <x:c r="C27" s="21" t="str">
        <x:v>Косметические ingredients и группы ингредиентов</x:v>
      </x:c>
      <x:c r="D27" s="21" t="str">
        <x:v>Use concentrations; irritation/sensitization; systemic and reproductive toxicity; phototoxicity when available</x:v>
      </x:c>
      <x:c r="E27" s="21" t="str">
        <x:v>PDF</x:v>
      </x:c>
      <x:c r="F27" s="21" t="str">
        <x:v>Нет единой таблицы</x:v>
      </x:c>
      <x:c r="G27" s="21" t="str">
        <x:v>Условия CIR</x:v>
      </x:c>
      <x:c r="H27" s="21" t="str">
        <x:v>https://www.cir-safety.org/cir-findings</x:v>
      </x:c>
      <x:c r="I27" s="28" t="str">
        <x:v>P2</x:v>
      </x:c>
      <x:c r="J27" s="28" t="str">
        <x:v>B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13b428c3f564582"/>
  </x:tableParts>
</x:worksheet>
</file>

<file path=xl/worksheets/sheet5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7" hidden="0" customWidth="1"/>
    <x:col min="2" max="2" width="34" hidden="0" customWidth="1"/>
    <x:col min="3" max="3" width="20" hidden="0" customWidth="1"/>
    <x:col min="4" max="4" width="70" hidden="0" customWidth="1"/>
    <x:col min="5" max="5" width="48" hidden="0" customWidth="1"/>
    <x:col min="6" max="6" width="15" hidden="0" customWidth="1"/>
    <x:col min="7" max="7" width="14" hidden="0" customWidth="1"/>
    <x:col min="8" max="8" width="45" hidden="0" customWidth="1"/>
  </x:cols>
  <x:sheetData>
    <x:row r="1" ht="26" customHeight="1">
      <x:c r="A1" s="2" t="str">
        <x:v>Практические маршруты скачивания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" t="str">
        <x:v>Команды не запускают платные/закрытые сервисы; перед перераспределением проверяйте лицензию конкретной версии</x:v>
      </x:c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6" customHeight="1">
      <x:c r="A3" s="16" t="str">
        <x:v>ID</x:v>
      </x:c>
      <x:c r="B3" s="16" t="str">
        <x:v>Ресурс</x:v>
      </x:c>
      <x:c r="C3" s="16" t="str">
        <x:v>Тип доступа</x:v>
      </x:c>
      <x:c r="D3" s="16" t="str">
        <x:v>Команда или действие</x:v>
      </x:c>
      <x:c r="E3" s="16" t="str">
        <x:v>После скачивания</x:v>
      </x:c>
      <x:c r="F3" s="16" t="str">
        <x:v>Автоматизация</x:v>
      </x:c>
      <x:c r="G3" s="16" t="str">
        <x:v>Приоритет</x:v>
      </x:c>
      <x:c r="H3" s="16" t="str">
        <x:v>URL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6" hidden="0" customHeight="1">
      <x:c r="A4" s="27" t="str">
        <x:v>M01</x:v>
      </x:c>
      <x:c r="B4" s="22" t="str">
        <x:v>The Photoswitch Dataset</x:v>
      </x:c>
      <x:c r="C4" s="22" t="str">
        <x:v>Bulk/API/git</x:v>
      </x:c>
      <x:c r="D4" s="22" t="str">
        <x:v>git clone https://github.com/Ryan-Rhys/The-Photoswitch-Dataset.git; основные таблицы находятся в каталоге dataset/</x:v>
      </x:c>
      <x:c r="E4" s="22" t="str">
        <x:v>Сохранить raw-файл без изменений; записать version/date/license/checksum; извлечённые таблицы хранить отдельно</x:v>
      </x:c>
      <x:c r="F4" s="27" t="str">
        <x:v>Высокая</x:v>
      </x:c>
      <x:c r="G4" s="27" t="str">
        <x:v>P0</x:v>
      </x:c>
      <x:c r="H4" s="22" t="str">
        <x:v>https://github.com/Ryan-Rhys/The-Photoswitch-Dataset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6" hidden="0" customHeight="1">
      <x:c r="A5" s="28" t="str">
        <x:v>M02</x:v>
      </x:c>
      <x:c r="B5" s="21" t="str">
        <x:v>photoswitch active-search repository</x:v>
      </x:c>
      <x:c r="C5" s="21" t="str">
        <x:v>Bulk/API/git</x:v>
      </x:c>
      <x:c r="D5" s="21" t="str">
        <x:v>git clone https://github.com/KrisNguyen135/photoswitch.git</x:v>
      </x:c>
      <x:c r="E5" s="21" t="str">
        <x:v>Сохранить raw-файл без изменений; записать version/date/license/checksum; извлечённые таблицы хранить отдельно</x:v>
      </x:c>
      <x:c r="F5" s="28" t="str">
        <x:v>Высокая</x:v>
      </x:c>
      <x:c r="G5" s="28" t="str">
        <x:v>P1</x:v>
      </x:c>
      <x:c r="H5" s="21" t="str">
        <x:v>https://github.com/KrisNguyen135/photoswitch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6" hidden="0" customHeight="1">
      <x:c r="A6" s="27" t="str">
        <x:v>M03</x:v>
      </x:c>
      <x:c r="B6" s="22" t="str">
        <x:v>Dewar pyrimidone MOST dataset</x:v>
      </x:c>
      <x:c r="C6" s="22" t="str">
        <x:v>Bulk/API/git</x:v>
      </x:c>
      <x:c r="D6" s="22" t="str">
        <x:v>На странице Dryad выбрать Download dataset либо скачать 13 файлов по отдельности</x:v>
      </x:c>
      <x:c r="E6" s="22" t="str">
        <x:v>Сохранить raw-файл без изменений; записать version/date/license/checksum; извлечённые таблицы хранить отдельно</x:v>
      </x:c>
      <x:c r="F6" s="27" t="str">
        <x:v>Высокая</x:v>
      </x:c>
      <x:c r="G6" s="27" t="str">
        <x:v>P0</x:v>
      </x:c>
      <x:c r="H6" s="22" t="str">
        <x:v>https://datadryad.org/dataset/doi:10.5061/dryad.rxwdbrvqg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6" hidden="0" customHeight="1">
      <x:c r="A7" s="28" t="str">
        <x:v>M04</x:v>
      </x:c>
      <x:c r="B7" s="21" t="str">
        <x:v>Triplet-sensitized high-energy-density NBD raw data</x:v>
      </x:c>
      <x:c r="C7" s="21" t="str">
        <x:v>Bulk/API/git</x:v>
      </x:c>
      <x:c r="D7" s="21" t="str">
        <x:v>Открыть запись и скачать оба ZIP из раздела Files</x:v>
      </x:c>
      <x:c r="E7" s="21" t="str">
        <x:v>Сохранить raw-файл без изменений; записать version/date/license/checksum; извлечённые таблицы хранить отдельно</x:v>
      </x:c>
      <x:c r="F7" s="28" t="str">
        <x:v>Высокая</x:v>
      </x:c>
      <x:c r="G7" s="28" t="str">
        <x:v>P0</x:v>
      </x:c>
      <x:c r="H7" s="21" t="str">
        <x:v>https://openscience.ub.uni-mainz.de/items/aabbdfa0-bfe8-43e6-93a7-4a15115d7330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6" hidden="0" customHeight="1">
      <x:c r="A8" s="27" t="str">
        <x:v>M05</x:v>
      </x:c>
      <x:c r="B8" s="22" t="str">
        <x:v>Spiropyran MOST UV–Vis dataset</x:v>
      </x:c>
      <x:c r="C8" s="22" t="str">
        <x:v>Bulk/API/git</x:v>
      </x:c>
      <x:c r="D8" s="22" t="str">
        <x:v>Нажать Download в карточке data.zip; для автоматизации запросить https://zenodo.org/api/records/19542255</x:v>
      </x:c>
      <x:c r="E8" s="22" t="str">
        <x:v>Сохранить raw-файл без изменений; записать version/date/license/checksum; извлечённые таблицы хранить отдельно</x:v>
      </x:c>
      <x:c r="F8" s="27" t="str">
        <x:v>Высокая</x:v>
      </x:c>
      <x:c r="G8" s="27" t="str">
        <x:v>P1</x:v>
      </x:c>
      <x:c r="H8" s="22" t="str">
        <x:v>https://zenodo.org/records/19542255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6" hidden="0" customHeight="1">
      <x:c r="A9" s="28" t="str">
        <x:v>M06</x:v>
      </x:c>
      <x:c r="B9" s="21" t="str">
        <x:v>Iminothioindoxyl photoswitch data</x:v>
      </x:c>
      <x:c r="C9" s="21" t="str">
        <x:v>Bulk/API/git</x:v>
      </x:c>
      <x:c r="D9" s="21" t="str">
        <x:v>Нажать Download all/Download у отдельных ZIP; API: https://zenodo.org/api/records/14844717</x:v>
      </x:c>
      <x:c r="E9" s="21" t="str">
        <x:v>Сохранить raw-файл без изменений; записать version/date/license/checksum; извлечённые таблицы хранить отдельно</x:v>
      </x:c>
      <x:c r="F9" s="28" t="str">
        <x:v>Высокая</x:v>
      </x:c>
      <x:c r="G9" s="28" t="str">
        <x:v>P1</x:v>
      </x:c>
      <x:c r="H9" s="21" t="str">
        <x:v>https://zenodo.org/records/14844717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6" hidden="0" customHeight="1">
      <x:c r="A10" s="27" t="str">
        <x:v>M07</x:v>
      </x:c>
      <x:c r="B10" s="22" t="str">
        <x:v>NBD nonadiabatic trajectories</x:v>
      </x:c>
      <x:c r="C10" s="22" t="str">
        <x:v>Bulk/API/git</x:v>
      </x:c>
      <x:c r="D10" s="22" t="str">
        <x:v>Скачать simulated_trajectories.tgz из Zenodo; API записи доступен по /api/records/14881708</x:v>
      </x:c>
      <x:c r="E10" s="22" t="str">
        <x:v>Сохранить raw-файл без изменений; записать version/date/license/checksum; извлечённые таблицы хранить отдельно</x:v>
      </x:c>
      <x:c r="F10" s="27" t="str">
        <x:v>Высокая</x:v>
      </x:c>
      <x:c r="G10" s="27" t="str">
        <x:v>P2</x:v>
      </x:c>
      <x:c r="H10" s="22" t="str">
        <x:v>https://zenodo.org/records/14881708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68" hidden="0" customHeight="1">
      <x:c r="A11" s="28" t="str">
        <x:v>M08</x:v>
      </x:c>
      <x:c r="B11" s="21" t="str">
        <x:v>High-throughput screening of 3 230 NBD/QC</x:v>
      </x:c>
      <x:c r="C11" s="21" t="str">
        <x:v>Article/SI/request</x:v>
      </x:c>
      <x:c r="D11" s="21" t="str">
        <x:v>Скачать SI со страницы статьи; для полной матрицы запросить авторов или воспроизвести опубликованный pipeline</x:v>
      </x:c>
      <x:c r="E11" s="21" t="str">
        <x:v>Сохранить raw-файл без изменений; записать version/date/license/checksum; извлечённые таблицы хранить отдельно</x:v>
      </x:c>
      <x:c r="F11" s="28" t="str">
        <x:v>Низкая</x:v>
      </x:c>
      <x:c r="G11" s="28" t="str">
        <x:v>P0-literature</x:v>
      </x:c>
      <x:c r="H11" s="21" t="str">
        <x:v>https://pubs.rsc.org/en/content/articlehtml/2022/cp/d2cp03032b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80" hidden="0" customHeight="1">
      <x:c r="A12" s="27" t="str">
        <x:v>M09</x:v>
      </x:c>
      <x:c r="B12" s="22" t="str">
        <x:v>Virtual screening of nearly 34 000 NBD/QC</x:v>
      </x:c>
      <x:c r="C12" s="22" t="str">
        <x:v>Article/SI/request</x:v>
      </x:c>
      <x:c r="D12" s="22" t="str">
        <x:v>Проверить Supplementary Material и ChemRxiv; при отсутствии — запросить таблицу у авторов или воспроизвести генерацию</x:v>
      </x:c>
      <x:c r="E12" s="22" t="str">
        <x:v>Сохранить raw-файл без изменений; записать version/date/license/checksum; извлечённые таблицы хранить отдельно</x:v>
      </x:c>
      <x:c r="F12" s="27" t="str">
        <x:v>Низкая</x:v>
      </x:c>
      <x:c r="G12" s="27" t="str">
        <x:v>P0-literature</x:v>
      </x:c>
      <x:c r="H12" s="22" t="str">
        <x:v>https://doi.org/10.1063/5.0063694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6" hidden="0" customHeight="1">
      <x:c r="A13" s="28" t="str">
        <x:v>M10</x:v>
      </x:c>
      <x:c r="B13" s="21" t="str">
        <x:v>Screening of ~466 000 bicyclic dienes</x:v>
      </x:c>
      <x:c r="C13" s="21" t="str">
        <x:v>Article/SI/request</x:v>
      </x:c>
      <x:c r="D13" s="21" t="str">
        <x:v>Скачать Supporting Information; полный набор запросить у авторов/воспроизвести согласно Methods</x:v>
      </x:c>
      <x:c r="E13" s="21" t="str">
        <x:v>Сохранить raw-файл без изменений; записать version/date/license/checksum; извлечённые таблицы хранить отдельно</x:v>
      </x:c>
      <x:c r="F13" s="28" t="str">
        <x:v>Низкая</x:v>
      </x:c>
      <x:c r="G13" s="28" t="str">
        <x:v>P1-literature</x:v>
      </x:c>
      <x:c r="H13" s="21" t="str">
        <x:v>https://doi.org/10.1002/anie.202309543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6" hidden="0" customHeight="1">
      <x:c r="A14" s="27" t="str">
        <x:v>M11</x:v>
      </x:c>
      <x:c r="B14" s="22" t="str">
        <x:v>Deep4Chem experimental optical database</x:v>
      </x:c>
      <x:c r="C14" s="22" t="str">
        <x:v>Bulk/API/git</x:v>
      </x:c>
      <x:c r="D14" s="22" t="str">
        <x:v>На Figshare открыть последнюю версию и нажать Download; сохранить номер версии и checksum</x:v>
      </x:c>
      <x:c r="E14" s="22" t="str">
        <x:v>Сохранить raw-файл без изменений; записать version/date/license/checksum; извлечённые таблицы хранить отдельно</x:v>
      </x:c>
      <x:c r="F14" s="27" t="str">
        <x:v>Высокая</x:v>
      </x:c>
      <x:c r="G14" s="27" t="str">
        <x:v>P0</x:v>
      </x:c>
      <x:c r="H14" s="22" t="str">
        <x:v>https://figshare.com/articles/dataset/DB_for_chromophore/12045567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6" hidden="0" customHeight="1">
      <x:c r="A15" s="28" t="str">
        <x:v>M12</x:v>
      </x:c>
      <x:c r="B15" s="21" t="str">
        <x:v>Comparative experimental/computational UV–Vis dataset</x:v>
      </x:c>
      <x:c r="C15" s="21" t="str">
        <x:v>Bulk/API/git</x:v>
      </x:c>
      <x:c r="D15" s="21" t="str">
        <x:v>Нажать Download all на Figshare; для экспериментального таргета отфильтровать PRISTINE</x:v>
      </x:c>
      <x:c r="E15" s="21" t="str">
        <x:v>Сохранить raw-файл без изменений; записать version/date/license/checksum; извлечённые таблицы хранить отдельно</x:v>
      </x:c>
      <x:c r="F15" s="28" t="str">
        <x:v>Высокая</x:v>
      </x:c>
      <x:c r="G15" s="28" t="str">
        <x:v>P0</x:v>
      </x:c>
      <x:c r="H15" s="21" t="str">
        <x:v>https://figshare.com/articles/dataset/Comparative_dataset_of_experimental_and_computational_attributes_of_UV_vis_absorption_spectra/7619672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6" hidden="0" customHeight="1">
      <x:c r="A16" s="27" t="str">
        <x:v>M13</x:v>
      </x:c>
      <x:c r="B16" s="22" t="str">
        <x:v>uvvisml unified repository</x:v>
      </x:c>
      <x:c r="C16" s="22" t="str">
        <x:v>Bulk/API/git</x:v>
      </x:c>
      <x:c r="D16" s="22" t="str">
        <x:v>git clone https://github.com/learningmatter-mit/uvvisml.git</x:v>
      </x:c>
      <x:c r="E16" s="22" t="str">
        <x:v>Сохранить raw-файл без изменений; записать version/date/license/checksum; извлечённые таблицы хранить отдельно</x:v>
      </x:c>
      <x:c r="F16" s="27" t="str">
        <x:v>Высокая</x:v>
      </x:c>
      <x:c r="G16" s="27" t="str">
        <x:v>P0</x:v>
      </x:c>
      <x:c r="H16" s="22" t="str">
        <x:v>https://github.com/learningmatter-mit/uvvisml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92" hidden="0" customHeight="1">
      <x:c r="A17" s="28" t="str">
        <x:v>M14</x:v>
      </x:c>
      <x:c r="B17" s="21" t="str">
        <x:v>PhotoChemCAD databases</x:v>
      </x:c>
      <x:c r="C17" s="21" t="str">
        <x:v>Web export/manual</x:v>
      </x:c>
      <x:c r="D17" s="21" t="str">
        <x:v>Скачать PhotoChemCAD 3.1, распаковать, запустить; File → Open → Database → Common Compounds DB.db; экспортировать нужные записи</x:v>
      </x:c>
      <x:c r="E17" s="21" t="str">
        <x:v>Сохранить raw-файл без изменений; записать version/date/license/checksum; извлечённые таблицы хранить отдельно</x:v>
      </x:c>
      <x:c r="F17" s="28" t="str">
        <x:v>Средняя</x:v>
      </x:c>
      <x:c r="G17" s="28" t="str">
        <x:v>P1</x:v>
      </x:c>
      <x:c r="H17" s="21" t="str">
        <x:v>https://www.photochemcad.com/download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68" hidden="0" customHeight="1">
      <x:c r="A18" s="27" t="str">
        <x:v>M15</x:v>
      </x:c>
      <x:c r="B18" s="22" t="str">
        <x:v>QCDGE</x:v>
      </x:c>
      <x:c r="C18" s="22" t="str">
        <x:v>Bulk/API/git</x:v>
      </x:c>
      <x:c r="D18" s="22" t="str">
        <x:v>Скачать final_all.csv или final_all.hdf5 с download.langroup.site; проверить SHA512SUM; использовать extract_data.py</x:v>
      </x:c>
      <x:c r="E18" s="22" t="str">
        <x:v>Сохранить raw-файл без изменений; записать version/date/license/checksum; извлечённые таблицы хранить отдельно</x:v>
      </x:c>
      <x:c r="F18" s="27" t="str">
        <x:v>Высокая</x:v>
      </x:c>
      <x:c r="G18" s="27" t="str">
        <x:v>P1</x:v>
      </x:c>
      <x:c r="H18" s="22" t="str">
        <x:v>https://langroup.site/QCDGE/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6" hidden="0" customHeight="1">
      <x:c r="A19" s="28" t="str">
        <x:v>M16</x:v>
      </x:c>
      <x:c r="B19" s="21" t="str">
        <x:v>QUESTDB</x:v>
      </x:c>
      <x:c r="C19" s="21" t="str">
        <x:v>Bulk/API/git</x:v>
      </x:c>
      <x:c r="D19" s="21" t="str">
        <x:v>git clone https://github.com/pfloos/QUESTDB.git; архив также: https://zenodo.org/records/15671385</x:v>
      </x:c>
      <x:c r="E19" s="21" t="str">
        <x:v>Сохранить raw-файл без изменений; записать version/date/license/checksum; извлечённые таблицы хранить отдельно</x:v>
      </x:c>
      <x:c r="F19" s="28" t="str">
        <x:v>Высокая</x:v>
      </x:c>
      <x:c r="G19" s="28" t="str">
        <x:v>P1</x:v>
      </x:c>
      <x:c r="H19" s="21" t="str">
        <x:v>https://github.com/pfloos/QUESTDB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80" hidden="0" customHeight="1">
      <x:c r="A20" s="27" t="str">
        <x:v>M17</x:v>
      </x:c>
      <x:c r="B20" s="22" t="str">
        <x:v>PubChemQC B3LYP/PM6</x:v>
      </x:c>
      <x:c r="C20" s="22" t="str">
        <x:v>Bulk/API/git</x:v>
      </x:c>
      <x:c r="D20" s="22" t="str">
        <x:v>Следовать приведённым на странице wget/sha256/tar инструкциям; начинать с тематического поднабора, а не с полного корпуса</x:v>
      </x:c>
      <x:c r="E20" s="22" t="str">
        <x:v>Сохранить raw-файл без изменений; записать version/date/license/checksum; извлечённые таблицы хранить отдельно</x:v>
      </x:c>
      <x:c r="F20" s="27" t="str">
        <x:v>Высокая</x:v>
      </x:c>
      <x:c r="G20" s="27" t="str">
        <x:v>P2</x:v>
      </x:c>
      <x:c r="H20" s="22" t="str">
        <x:v>https://nakatamaho.riken.jp/pubchemqc.riken.jp/b3lyp_pm6_datasets.html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6" hidden="0" customHeight="1">
      <x:c r="A21" s="28" t="str">
        <x:v>M18</x:v>
      </x:c>
      <x:c r="B21" s="21" t="str">
        <x:v>ORNL_AISD-Ex</x:v>
      </x:c>
      <x:c r="C21" s="21" t="str">
        <x:v>Bulk/API/git</x:v>
      </x:c>
      <x:c r="D21" s="21" t="str">
        <x:v>Использовать Globus endpoint из записи; скачать выбранные шарды</x:v>
      </x:c>
      <x:c r="E21" s="21" t="str">
        <x:v>Сохранить raw-файл без изменений; записать version/date/license/checksum; извлечённые таблицы хранить отдельно</x:v>
      </x:c>
      <x:c r="F21" s="28" t="str">
        <x:v>Высокая</x:v>
      </x:c>
      <x:c r="G21" s="28" t="str">
        <x:v>P2</x:v>
      </x:c>
      <x:c r="H21" s="21" t="str">
        <x:v>https://doi.ccs.ornl.gov/dataset/13423cfb-df80-541c-a3d9-a2f042fbe507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312" hidden="0" customHeight="1">
      <x:c r="A22" s="27" t="str">
        <x:v>U01</x:v>
      </x:c>
      <x:c r="B22" s="22" t="str">
        <x:v>EU CosIng + Annex VI</x:v>
      </x:c>
      <x:c r="C22" s="22" t="str">
        <x:v>Web export/manual</x:v>
      </x:c>
      <x:c r="D22" s="22" t="str">
        <x:v>В CosIng: Advanced Search → Scope/UV filters → active → экспорт результатов, если доступен; для юридически актуальной версии выгрузить/распарсить Annex VI из консолидированного EUR-Lex: https://eur-lex.europa.eu/eli/reg/2009/1223/oj/eng</x:v>
      </x:c>
      <x:c r="E22" s="22" t="str">
        <x:v>Сохранить raw-файл без изменений; записать version/date/license/checksum; извлечённые таблицы хранить отдельно</x:v>
      </x:c>
      <x:c r="F22" s="27" t="str">
        <x:v>Средняя</x:v>
      </x:c>
      <x:c r="G22" s="27" t="str">
        <x:v>P0</x:v>
      </x:c>
      <x:c r="H22" s="22" t="str">
        <x:v>https://ec.europa.eu/growth/tools-databases/cosing/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6" hidden="0" customHeight="1">
      <x:c r="A23" s="28" t="str">
        <x:v>U02</x:v>
      </x:c>
      <x:c r="B23" s="21" t="str">
        <x:v>cosing-kg</x:v>
      </x:c>
      <x:c r="C23" s="21" t="str">
        <x:v>Bulk/API/git</x:v>
      </x:c>
      <x:c r="D23" s="21" t="str">
        <x:v>git clone https://github.com/biobricks-ai/cosing-kg.git; выполнить инструкции biobricks/DVC</x:v>
      </x:c>
      <x:c r="E23" s="21" t="str">
        <x:v>Сохранить raw-файл без изменений; записать version/date/license/checksum; извлечённые таблицы хранить отдельно</x:v>
      </x:c>
      <x:c r="F23" s="28" t="str">
        <x:v>Высокая</x:v>
      </x:c>
      <x:c r="G23" s="28" t="str">
        <x:v>P1</x:v>
      </x:c>
      <x:c r="H23" s="21" t="str">
        <x:v>https://github.com/biobricks-ai/cosing-kg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04" hidden="0" customHeight="1">
      <x:c r="A24" s="27" t="str">
        <x:v>U03</x:v>
      </x:c>
      <x:c r="B24" s="22" t="str">
        <x:v>FDA OTC Monograph M020 + administrative orders</x:v>
      </x:c>
      <x:c r="C24" s="22" t="str">
        <x:v>Web export/manual</x:v>
      </x:c>
      <x:c r="D24" s="22" t="str">
        <x:v>В OTC Monographs@FDA открыть M020 и скачать current monograph/order PDFs; отдельно включить Final Administrative Order OTC000039 для bemotrizinol</x:v>
      </x:c>
      <x:c r="E24" s="22" t="str">
        <x:v>Сохранить raw-файл без изменений; записать version/date/license/checksum; извлечённые таблицы хранить отдельно</x:v>
      </x:c>
      <x:c r="F24" s="27" t="str">
        <x:v>Средняя</x:v>
      </x:c>
      <x:c r="G24" s="27" t="str">
        <x:v>P0</x:v>
      </x:c>
      <x:c r="H24" s="22" t="str">
        <x:v>https://www.accessdata.fda.gov/scripts/cder/omuf/index.cfm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92" hidden="0" customHeight="1">
      <x:c r="A25" s="28" t="str">
        <x:v>U04</x:v>
      </x:c>
      <x:c r="B25" s="21" t="str">
        <x:v>openFDA Drug Label</x:v>
      </x:c>
      <x:c r="C25" s="21" t="str">
        <x:v>Bulk/API/git</x:v>
      </x:c>
      <x:c r="D25" s="21" t="str">
        <x:v>Скачать Drug Label bulk JSON либо запросить API и фильтровать openfda.product_type/active_ingredient/indications; сохранить дату выгрузки</x:v>
      </x:c>
      <x:c r="E25" s="21" t="str">
        <x:v>Сохранить raw-файл без изменений; записать version/date/license/checksum; извлечённые таблицы хранить отдельно</x:v>
      </x:c>
      <x:c r="F25" s="28" t="str">
        <x:v>Высокая</x:v>
      </x:c>
      <x:c r="G25" s="28" t="str">
        <x:v>P0</x:v>
      </x:c>
      <x:c r="H25" s="21" t="str">
        <x:v>https://open.fda.gov/apis/drug/label/download/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6" hidden="0" customHeight="1">
      <x:c r="A26" s="27" t="str">
        <x:v>U05</x:v>
      </x:c>
      <x:c r="B26" s="22" t="str">
        <x:v>FDALabel</x:v>
      </x:c>
      <x:c r="C26" s="22" t="str">
        <x:v>Bulk/API/git</x:v>
      </x:c>
      <x:c r="D26" s="22" t="str">
        <x:v>Выполнить поиск Sunscreen/active ingredient → Download Full Results → CSV или Excel</x:v>
      </x:c>
      <x:c r="E26" s="22" t="str">
        <x:v>Сохранить raw-файл без изменений; записать version/date/license/checksum; извлечённые таблицы хранить отдельно</x:v>
      </x:c>
      <x:c r="F26" s="27" t="str">
        <x:v>Высокая</x:v>
      </x:c>
      <x:c r="G26" s="27" t="str">
        <x:v>P1</x:v>
      </x:c>
      <x:c r="H26" s="22" t="str">
        <x:v>https://nctr-crs.fda.gov/fdalabel/ui/search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28" hidden="0" customHeight="1">
      <x:c r="A27" s="28" t="str">
        <x:v>U06</x:v>
      </x:c>
      <x:c r="B27" s="21" t="str">
        <x:v>SCCS Opinions</x:v>
      </x:c>
      <x:c r="C27" s="21" t="str">
        <x:v>Web export/manual</x:v>
      </x:c>
      <x:c r="D27" s="21" t="str">
        <x:v>Фильтровать страницу по названию/CAS UV-фильтра; скачать opinion PDF и приложения; извлекать таблицы с обязательным номером opinion и версией</x:v>
      </x:c>
      <x:c r="E27" s="21" t="str">
        <x:v>Сохранить raw-файл без изменений; записать version/date/license/checksum; извлечённые таблицы хранить отдельно</x:v>
      </x:c>
      <x:c r="F27" s="28" t="str">
        <x:v>Средняя</x:v>
      </x:c>
      <x:c r="G27" s="28" t="str">
        <x:v>P0</x:v>
      </x:c>
      <x:c r="H27" s="21" t="str">
        <x:v>https://health.ec.europa.eu/scientific-committees/scientific-committee-consumer-safety-sccs/sccs-opinions_en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04" hidden="0" customHeight="1">
      <x:c r="A28" s="27" t="str">
        <x:v>U07</x:v>
      </x:c>
      <x:c r="B28" s="22" t="str">
        <x:v>NICE Data Sets (formerly ICE)</x:v>
      </x:c>
      <x:c r="C28" s="22" t="str">
        <x:v>Bulk/API/git</x:v>
      </x:c>
      <x:c r="D28" s="22" t="str">
        <x:v>Скачать Skin_Sensitization.xlsx, Skin_Irritation_Corrosion.xlsx, ADME_Parameters.xlsx и нужные cHTS файлы; API: https://ice.ntp.niehs.nih.gov/api/v1/search?chemid=...</x:v>
      </x:c>
      <x:c r="E28" s="22" t="str">
        <x:v>Сохранить raw-файл без изменений; записать version/date/license/checksum; извлечённые таблицы хранить отдельно</x:v>
      </x:c>
      <x:c r="F28" s="27" t="str">
        <x:v>Высокая</x:v>
      </x:c>
      <x:c r="G28" s="27" t="str">
        <x:v>P0</x:v>
      </x:c>
      <x:c r="H28" s="22" t="str">
        <x:v>https://ice.ntp.niehs.nih.gov/downloads/DataonICE/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92" hidden="0" customHeight="1">
      <x:c r="A29" s="28" t="str">
        <x:v>U08</x:v>
      </x:c>
      <x:c r="B29" s="21" t="str">
        <x:v>SARA-ICE database/model</x:v>
      </x:c>
      <x:c r="C29" s="21" t="str">
        <x:v>Bulk/API/git</x:v>
      </x:c>
      <x:c r="D29" s="21" t="str">
        <x:v>На странице нажать Download the SARA-ICE database (May 2023); в приложении результаты выгружаются через Download Analysis</x:v>
      </x:c>
      <x:c r="E29" s="21" t="str">
        <x:v>Сохранить raw-файл без изменений; записать version/date/license/checksum; извлечённые таблицы хранить отдельно</x:v>
      </x:c>
      <x:c r="F29" s="28" t="str">
        <x:v>Высокая</x:v>
      </x:c>
      <x:c r="G29" s="28" t="str">
        <x:v>P0</x:v>
      </x:c>
      <x:c r="H29" s="21" t="str">
        <x:v>https://ntp.niehs.nih.gov/whatwestudy/niceatm/test-method-evaluations/skin-sens/da/SARA-ICE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6" hidden="0" customHeight="1">
      <x:c r="A30" s="27" t="str">
        <x:v>U09</x:v>
      </x:c>
      <x:c r="B30" s="22" t="str">
        <x:v>Human Predictive Patch Test database</x:v>
      </x:c>
      <x:c r="C30" s="22" t="str">
        <x:v>Bulk/API/git</x:v>
      </x:c>
      <x:c r="D30" s="22" t="str">
        <x:v>Нажать Human predictive patch test database (updated May 25, 2023) — Excel</x:v>
      </x:c>
      <x:c r="E30" s="22" t="str">
        <x:v>Сохранить raw-файл без изменений; записать version/date/license/checksum; извлечённые таблицы хранить отдельно</x:v>
      </x:c>
      <x:c r="F30" s="27" t="str">
        <x:v>Высокая</x:v>
      </x:c>
      <x:c r="G30" s="27" t="str">
        <x:v>P0</x:v>
      </x:c>
      <x:c r="H30" s="22" t="str">
        <x:v>https://ntp.niehs.nih.gov/whatwestudy/niceatm/test-method-evaluations/skin-sens/hppt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92" hidden="0" customHeight="1">
      <x:c r="A31" s="28" t="str">
        <x:v>U10</x:v>
      </x:c>
      <x:c r="B31" s="21" t="str">
        <x:v>SkinSensDB</x:v>
      </x:c>
      <x:c r="C31" s="21" t="str">
        <x:v>Web export/manual</x:v>
      </x:c>
      <x:c r="D31" s="21" t="str">
        <x:v>Использовать full-record Excel export; при недоступности сайта брать harmonized skin_sensitization.xlsx из NICE и публикацию SkinSensDB</x:v>
      </x:c>
      <x:c r="E31" s="21" t="str">
        <x:v>Сохранить raw-файл без изменений; записать version/date/license/checksum; извлечённые таблицы хранить отдельно</x:v>
      </x:c>
      <x:c r="F31" s="28" t="str">
        <x:v>Средняя</x:v>
      </x:c>
      <x:c r="G31" s="28" t="str">
        <x:v>P1</x:v>
      </x:c>
      <x:c r="H31" s="21" t="str">
        <x:v>http://cwtung.kmu.edu.tw/skinsensdb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6" hidden="0" customHeight="1">
      <x:c r="A32" s="27" t="str">
        <x:v>U11</x:v>
      </x:c>
      <x:c r="B32" s="22" t="str">
        <x:v>HuskinDB</x:v>
      </x:c>
      <x:c r="C32" s="22" t="str">
        <x:v>Bulk/API/git</x:v>
      </x:c>
      <x:c r="D32" s="22" t="str">
        <x:v>В разделе Database выгрузить таблицы CSV/Excel; альтернативная запись: https://doi.org/10.7303/syn21998881</x:v>
      </x:c>
      <x:c r="E32" s="22" t="str">
        <x:v>Сохранить raw-файл без изменений; записать version/date/license/checksum; извлечённые таблицы хранить отдельно</x:v>
      </x:c>
      <x:c r="F32" s="27" t="str">
        <x:v>Высокая</x:v>
      </x:c>
      <x:c r="G32" s="27" t="str">
        <x:v>P0</x:v>
      </x:c>
      <x:c r="H32" s="22" t="str">
        <x:v>https://www.huskindb.drug-design.de/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6" hidden="0" customHeight="1">
      <x:c r="A33" s="28" t="str">
        <x:v>U12</x:v>
      </x:c>
      <x:c r="B33" s="21" t="str">
        <x:v>SkinPiX</x:v>
      </x:c>
      <x:c r="C33" s="21" t="str">
        <x:v>Bulk/API/git</x:v>
      </x:c>
      <x:c r="D33" s="21" t="str">
        <x:v>Скачать 20230620_cleanedDB.xlsx и README либо Original format ZIP</x:v>
      </x:c>
      <x:c r="E33" s="21" t="str">
        <x:v>Сохранить raw-файл без изменений; записать version/date/license/checksum; извлечённые таблицы хранить отдельно</x:v>
      </x:c>
      <x:c r="F33" s="28" t="str">
        <x:v>Высокая</x:v>
      </x:c>
      <x:c r="G33" s="28" t="str">
        <x:v>P0</x:v>
      </x:c>
      <x:c r="H33" s="21" t="str">
        <x:v>https://entrepot.recherche.data.gouv.fr/dataset.xhtml?persistentId=doi:10.57745/7FHQOY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6" hidden="0" customHeight="1">
      <x:c r="A34" s="27" t="str">
        <x:v>U13</x:v>
      </x:c>
      <x:c r="B34" s="22" t="str">
        <x:v>Updated Jmax/Kp human epidermis dataset</x:v>
      </x:c>
      <x:c r="C34" s="22" t="str">
        <x:v>Bulk/API/git</x:v>
      </x:c>
      <x:c r="D34" s="22" t="str">
        <x:v>Нажать Download All и сохранить version 1; проверить readme/column dictionary</x:v>
      </x:c>
      <x:c r="E34" s="22" t="str">
        <x:v>Сохранить raw-файл без изменений; записать version/date/license/checksum; извлечённые таблицы хранить отдельно</x:v>
      </x:c>
      <x:c r="F34" s="27" t="str">
        <x:v>Высокая</x:v>
      </x:c>
      <x:c r="G34" s="27" t="str">
        <x:v>P1</x:v>
      </x:c>
      <x:c r="H34" s="22" t="str">
        <x:v>https://data.mendeley.com/datasets/8bs7hb2wj2/1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6" hidden="0" customHeight="1">
      <x:c r="A35" s="28" t="str">
        <x:v>U14</x:v>
      </x:c>
      <x:c r="B35" s="21" t="str">
        <x:v>Chemical absorption in human skin (Dryad)</x:v>
      </x:c>
      <x:c r="C35" s="21" t="str">
        <x:v>Bulk/API/git</x:v>
      </x:c>
      <x:c r="D35" s="21" t="str">
        <x:v>Нажать Download dataset либо скачать Excel по отдельности</x:v>
      </x:c>
      <x:c r="E35" s="21" t="str">
        <x:v>Сохранить raw-файл без изменений; записать version/date/license/checksum; извлечённые таблицы хранить отдельно</x:v>
      </x:c>
      <x:c r="F35" s="28" t="str">
        <x:v>Высокая</x:v>
      </x:c>
      <x:c r="G35" s="28" t="str">
        <x:v>P1</x:v>
      </x:c>
      <x:c r="H35" s="21" t="str">
        <x:v>https://datadryad.org/dataset/doi:10.5061/dryad.dfn2z3581</x:v>
      </x:c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6" hidden="0" customHeight="1">
      <x:c r="A36" s="27" t="str">
        <x:v>U15</x:v>
      </x:c>
      <x:c r="B36" s="22" t="str">
        <x:v>EDETOX</x:v>
      </x:c>
      <x:c r="C36" s="22" t="str">
        <x:v>Web export/manual</x:v>
      </x:c>
      <x:c r="D36" s="22" t="str">
        <x:v>Открыть database/app, задать фильтры и экспортировать результаты в Excel</x:v>
      </x:c>
      <x:c r="E36" s="22" t="str">
        <x:v>Сохранить raw-файл без изменений; записать version/date/license/checksum; извлечённые таблицы хранить отдельно</x:v>
      </x:c>
      <x:c r="F36" s="27" t="str">
        <x:v>Средняя</x:v>
      </x:c>
      <x:c r="G36" s="27" t="str">
        <x:v>P2</x:v>
      </x:c>
      <x:c r="H36" s="22" t="str">
        <x:v>https://research.ncl.ac.uk/edetox/theedetoxdatabase/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6" hidden="0" customHeight="1">
      <x:c r="A37" s="28" t="str">
        <x:v>U16</x:v>
      </x:c>
      <x:c r="B37" s="21" t="str">
        <x:v>QsarDB phototoxicity archive QDB.139</x:v>
      </x:c>
      <x:c r="C37" s="21" t="str">
        <x:v>Bulk/API/git</x:v>
      </x:c>
      <x:c r="D37" s="21" t="str">
        <x:v>Нажать Download archive; зафиксировать DOI 10.15152/QDB.139</x:v>
      </x:c>
      <x:c r="E37" s="21" t="str">
        <x:v>Сохранить raw-файл без изменений; записать version/date/license/checksum; извлечённые таблицы хранить отдельно</x:v>
      </x:c>
      <x:c r="F37" s="28" t="str">
        <x:v>Высокая</x:v>
      </x:c>
      <x:c r="G37" s="28" t="str">
        <x:v>P1</x:v>
      </x:c>
      <x:c r="H37" s="21" t="str">
        <x:v>https://qsardb.org/repository/handle/10967/139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80" hidden="0" customHeight="1">
      <x:c r="A38" s="27" t="str">
        <x:v>U17</x:v>
      </x:c>
      <x:c r="B38" s="22" t="str">
        <x:v>PhotoChem Reference Chemical Database</x:v>
      </x:c>
      <x:c r="C38" s="22" t="str">
        <x:v>Article/SI/request</x:v>
      </x:c>
      <x:c r="D38" s="22" t="str">
        <x:v>Скачать статью и Supplementary Materials; проверить наличие таблиц, при необходимости извлечь с двойной ручной проверкой</x:v>
      </x:c>
      <x:c r="E38" s="22" t="str">
        <x:v>Сохранить raw-файл без изменений; записать version/date/license/checksum; извлечённые таблицы хранить отдельно</x:v>
      </x:c>
      <x:c r="F38" s="27" t="str">
        <x:v>Низкая</x:v>
      </x:c>
      <x:c r="G38" s="27" t="str">
        <x:v>P0-literature</x:v>
      </x:c>
      <x:c r="H38" s="22" t="str">
        <x:v>https://doi.org/10.3390/toxics13070545</x:v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6" hidden="0" customHeight="1">
      <x:c r="A39" s="28" t="str">
        <x:v>U18</x:v>
      </x:c>
      <x:c r="B39" s="21" t="str">
        <x:v>JRC QSAR Model Database</x:v>
      </x:c>
      <x:c r="C39" s="21" t="str">
        <x:v>Bulk/API/git</x:v>
      </x:c>
      <x:c r="D39" s="21" t="str">
        <x:v>Скачать ZIP записи; фильтровать модели по endpoint; читать QMRF и проверять наличие training/test SDF</x:v>
      </x:c>
      <x:c r="E39" s="21" t="str">
        <x:v>Сохранить raw-файл без изменений; записать version/date/license/checksum; извлечённые таблицы хранить отдельно</x:v>
      </x:c>
      <x:c r="F39" s="28" t="str">
        <x:v>Высокая</x:v>
      </x:c>
      <x:c r="G39" s="28" t="str">
        <x:v>P2</x:v>
      </x:c>
      <x:c r="H39" s="21" t="str">
        <x:v>https://doi.org/10.2905/JRC.FXAJT5G</x:v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80" hidden="0" customHeight="1">
      <x:c r="A40" s="27" t="str">
        <x:v>U19</x:v>
      </x:c>
      <x:c r="B40" s="22" t="str">
        <x:v>OECD eChemPortal</x:v>
      </x:c>
      <x:c r="C40" s="22" t="str">
        <x:v>Web export/manual</x:v>
      </x:c>
      <x:c r="D40" s="22" t="str">
        <x:v>Искать по CAS/InChIKey; выбрать property results и использовать download/export; сохранять originating database и study identifier</x:v>
      </x:c>
      <x:c r="E40" s="22" t="str">
        <x:v>Сохранить raw-файл без изменений; записать version/date/license/checksum; извлечённые таблицы хранить отдельно</x:v>
      </x:c>
      <x:c r="F40" s="27" t="str">
        <x:v>Средняя</x:v>
      </x:c>
      <x:c r="G40" s="27" t="str">
        <x:v>P2</x:v>
      </x:c>
      <x:c r="H40" s="22" t="str">
        <x:v>https://www.echemportal.org/</x:v>
      </x:c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6" hidden="0" customHeight="1">
      <x:c r="A41" s="28" t="str">
        <x:v>U20</x:v>
      </x:c>
      <x:c r="B41" s="21" t="str">
        <x:v>EPA CompTox Chemicals Dashboard</x:v>
      </x:c>
      <x:c r="C41" s="21" t="str">
        <x:v>Bulk/API/git</x:v>
      </x:c>
      <x:c r="D41" s="21" t="str">
        <x:v>Batch Search → вставить CAS/InChIKey/DTXSID (до 10 000) → выбрать columns → Download CSV/Excel/SDF</x:v>
      </x:c>
      <x:c r="E41" s="21" t="str">
        <x:v>Сохранить raw-файл без изменений; записать version/date/license/checksum; извлечённые таблицы хранить отдельно</x:v>
      </x:c>
      <x:c r="F41" s="28" t="str">
        <x:v>Высокая</x:v>
      </x:c>
      <x:c r="G41" s="28" t="str">
        <x:v>P0</x:v>
      </x:c>
      <x:c r="H41" s="21" t="str">
        <x:v>https://comptox.epa.gov/dashboard/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6" hidden="0" customHeight="1">
      <x:c r="A42" s="27" t="str">
        <x:v>U21</x:v>
      </x:c>
      <x:c r="B42" s="22" t="str">
        <x:v>EPA CPDat / ChemExpo</x:v>
      </x:c>
      <x:c r="C42" s="22" t="str">
        <x:v>Bulk/API/git</x:v>
      </x:c>
      <x:c r="D42" s="22" t="str">
        <x:v>Перейти по Current CPDat Release для bulk; либо ChemExpo → product type sunscreen → CSV; доступны CTX APIs</x:v>
      </x:c>
      <x:c r="E42" s="22" t="str">
        <x:v>Сохранить raw-файл без изменений; записать version/date/license/checksum; извлечённые таблицы хранить отдельно</x:v>
      </x:c>
      <x:c r="F42" s="27" t="str">
        <x:v>Высокая</x:v>
      </x:c>
      <x:c r="G42" s="27" t="str">
        <x:v>P0</x:v>
      </x:c>
      <x:c r="H42" s="22" t="str">
        <x:v>https://www.epa.gov/chemical-research/chemical-and-products-database-cpdat</x:v>
      </x:c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6" hidden="0" customHeight="1">
      <x:c r="A43" s="28" t="str">
        <x:v>U22</x:v>
      </x:c>
      <x:c r="B43" s="21" t="str">
        <x:v>Open Beauty Facts</x:v>
      </x:c>
      <x:c r="C43" s="21" t="str">
        <x:v>Bulk/API/git</x:v>
      </x:c>
      <x:c r="D43" s="21" t="str">
        <x:v>Скачать global CSV/data export либо использовать Open Beauty Facts API; сохранять timestamp и completeness fields</x:v>
      </x:c>
      <x:c r="E43" s="21" t="str">
        <x:v>Сохранить raw-файл без изменений; записать version/date/license/checksum; извлечённые таблицы хранить отдельно</x:v>
      </x:c>
      <x:c r="F43" s="28" t="str">
        <x:v>Высокая</x:v>
      </x:c>
      <x:c r="G43" s="28" t="str">
        <x:v>P1</x:v>
      </x:c>
      <x:c r="H43" s="21" t="str">
        <x:v>https://world.openbeautyfacts.org/data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6" hidden="0" customHeight="1">
      <x:c r="A44" s="27" t="str">
        <x:v>U23</x:v>
      </x:c>
      <x:c r="B44" s="22" t="str">
        <x:v>PubChem</x:v>
      </x:c>
      <x:c r="C44" s="22" t="str">
        <x:v>Bulk/API/git</x:v>
      </x:c>
      <x:c r="D44" s="22" t="str">
        <x:v>Загрузить список CID или использовать PUG REST для свойств; Search Results → Download; большие объёмы через FTP</x:v>
      </x:c>
      <x:c r="E44" s="22" t="str">
        <x:v>Сохранить raw-файл без изменений; записать version/date/license/checksum; извлечённые таблицы хранить отдельно</x:v>
      </x:c>
      <x:c r="F44" s="27" t="str">
        <x:v>Высокая</x:v>
      </x:c>
      <x:c r="G44" s="27" t="str">
        <x:v>P0</x:v>
      </x:c>
      <x:c r="H44" s="22" t="str">
        <x:v>https://pubchem.ncbi.nlm.nih.gov/docs/downloads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6" hidden="0" customHeight="1">
      <x:c r="A45" s="28" t="str">
        <x:v>U24</x:v>
      </x:c>
      <x:c r="B45" s="21" t="str">
        <x:v>Cosmetic Ingredient Review (CIR)</x:v>
      </x:c>
      <x:c r="C45" s="21" t="str">
        <x:v>Web export/manual</x:v>
      </x:c>
      <x:c r="D45" s="21" t="str">
        <x:v>Искать по INCI/CAS и скачивать Final Report/Amended Safety Assessment PDFs; сохранять report status/date</x:v>
      </x:c>
      <x:c r="E45" s="21" t="str">
        <x:v>Сохранить raw-файл без изменений; записать version/date/license/checksum; извлечённые таблицы хранить отдельно</x:v>
      </x:c>
      <x:c r="F45" s="28" t="str">
        <x:v>Средняя</x:v>
      </x:c>
      <x:c r="G45" s="28" t="str">
        <x:v>P2</x:v>
      </x:c>
      <x:c r="H45" s="21" t="str">
        <x:v>https://www.cir-safety.org/cir-findings</x:v>
      </x:c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193b5cd811d4241"/>
  </x:tableParts>
</x:worksheet>
</file>

<file path=xl/worksheets/sheet6.xml><?xml version="1.0" encoding="utf-8"?>
<x:worksheet xmlns:x="http://schemas.openxmlformats.org/spreadsheetml/2006/main">
  <x:sheetPr>
    <x:tabColor rgb="FF8B5CF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24" hidden="0" customWidth="1"/>
    <x:col min="3" max="3" width="30" hidden="0" customWidth="1"/>
    <x:col min="4" max="4" width="50" hidden="0" customWidth="1"/>
    <x:col min="5" max="5" width="44" hidden="0" customWidth="1"/>
    <x:col min="6" max="6" width="36" hidden="0" customWidth="1"/>
    <x:col min="7" max="7" width="18" hidden="0" customWidth="1"/>
    <x:col min="8" max="8" width="42" hidden="0" customWidth="1"/>
  </x:cols>
  <x:sheetData>
    <x:row r="1" ht="26" customHeight="1">
      <x:c r="A1" s="2" t="str">
        <x:v>Карта свойств и дефицитов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" t="str">
        <x:v>Здесь отделены molecule-, state-, condition-, film/formulation- и product-level endpoints</x:v>
      </x:c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6" customHeight="1">
      <x:c r="A3" s="16" t="str">
        <x:v>Свойство</x:v>
      </x:c>
      <x:c r="B3" s="16" t="str">
        <x:v>Уровень</x:v>
      </x:c>
      <x:c r="C3" s="16" t="str">
        <x:v>Основные источники</x:v>
      </x:c>
      <x:c r="D3" s="16" t="str">
        <x:v>Что брать из данных</x:v>
      </x:c>
      <x:c r="E3" s="16" t="str">
        <x:v>Что можно считать</x:v>
      </x:c>
      <x:c r="F3" s="16" t="str">
        <x:v>Главный confounder</x:v>
      </x:c>
      <x:c r="G3" s="16" t="str">
        <x:v>Покрытие</x:v>
      </x:c>
      <x:c r="H3" s="16" t="str">
        <x:v>Рекомендация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60" hidden="0" customHeight="1">
      <x:c r="A4" s="22" t="str">
        <x:v>UV–Vis λ(ε) в растворе</x:v>
      </x:c>
      <x:c r="B4" s="22" t="str">
        <x:v>State + condition</x:v>
      </x:c>
      <x:c r="C4" s="22" t="str">
        <x:v>M01, M04, M11, M12</x:v>
      </x:c>
      <x:c r="D4" s="22" t="str">
        <x:v>Полный спектр/λmax/ε, solvent, concentration, T</x:v>
      </x:c>
      <x:c r="E4" s="22" t="str">
        <x:v>TD-DFT/excited-state ML с калибровкой</x:v>
      </x:c>
      <x:c r="F4" s="22" t="str">
        <x:v>Solvent, protonation, aggregation</x:v>
      </x:c>
      <x:c r="G4" s="27" t="str">
        <x:v>Среднее</x:v>
      </x:c>
      <x:c r="H4" s="22" t="str">
        <x:v>Использовать multi-fidelity model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72" hidden="0" customHeight="1">
      <x:c r="A5" s="21" t="str">
        <x:v>Спектр в плёнке</x:v>
      </x:c>
      <x:c r="B5" s="21" t="str">
        <x:v>Film/matrix</x:v>
      </x:c>
      <x:c r="C5" s="21" t="str">
        <x:v>M03, M11</x:v>
      </x:c>
      <x:c r="D5" s="21" t="str">
        <x:v>Full spectrum, thickness, matrix, irradiation history</x:v>
      </x:c>
      <x:c r="E5" s="21" t="str">
        <x:v>QM/MM или solid-state proxy только как prior</x:v>
      </x:c>
      <x:c r="F5" s="21" t="str">
        <x:v>Packing, matrix, thickness</x:v>
      </x:c>
      <x:c r="G5" s="28" t="str">
        <x:v>Очень низкое</x:v>
      </x:c>
      <x:c r="H5" s="21" t="str">
        <x:v>Отдельный domain head; не подменять solution data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60" hidden="0" customHeight="1">
      <x:c r="A6" s="22" t="str">
        <x:v>Photoisomerization QY</x:v>
      </x:c>
      <x:c r="B6" s="22" t="str">
        <x:v>Switch transition</x:v>
      </x:c>
      <x:c r="C6" s="22" t="str">
        <x:v>M03, M04</x:v>
      </x:c>
      <x:c r="D6" s="22" t="str">
        <x:v>Φ, wavelength, actinometry, solvent, oxygen</x:v>
      </x:c>
      <x:c r="E6" s="22" t="str">
        <x:v>Excited-state dynamics на малом subset</x:v>
      </x:c>
      <x:c r="F6" s="22" t="str">
        <x:v>Protocol and back reaction</x:v>
      </x:c>
      <x:c r="G6" s="27" t="str">
        <x:v>Очень низкое</x:v>
      </x:c>
      <x:c r="H6" s="22" t="str">
        <x:v>Uncertainty-first; не путать с fluorescence QY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72" hidden="0" customHeight="1">
      <x:c r="A7" s="21" t="str">
        <x:v>PSS/conversion</x:v>
      </x:c>
      <x:c r="B7" s="21" t="str">
        <x:v>Switch transition</x:v>
      </x:c>
      <x:c r="C7" s="21" t="str">
        <x:v>M01, M04</x:v>
      </x:c>
      <x:c r="D7" s="21" t="str">
        <x:v>Isomer fraction, irradiation wavelength/intensity/time</x:v>
      </x:c>
      <x:c r="E7" s="21" t="str">
        <x:v>Kinetic model при известных spectra/QY</x:v>
      </x:c>
      <x:c r="F7" s="21" t="str">
        <x:v>Photochemical back reaction</x:v>
      </x:c>
      <x:c r="G7" s="28" t="str">
        <x:v>Низкое</x:v>
      </x:c>
      <x:c r="H7" s="21" t="str">
        <x:v>Condition-aware target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8" hidden="0" customHeight="1">
      <x:c r="A8" s="22" t="str">
        <x:v>Thermal half-life / ΔG‡</x:v>
      </x:c>
      <x:c r="B8" s="22" t="str">
        <x:v>State + condition</x:v>
      </x:c>
      <x:c r="C8" s="22" t="str">
        <x:v>M01, M03, M06, M08–M10</x:v>
      </x:c>
      <x:c r="D8" s="22" t="str">
        <x:v>k(T), T-series, solvent/matrix</x:v>
      </x:c>
      <x:c r="E8" s="22" t="str">
        <x:v>TS search/DFT/xTB calibration</x:v>
      </x:c>
      <x:c r="F8" s="22" t="str">
        <x:v>Temperature and solvent</x:v>
      </x:c>
      <x:c r="G8" s="27" t="str">
        <x:v>Среднее</x:v>
      </x:c>
      <x:c r="H8" s="22" t="str">
        <x:v>Eyring-consistent representation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60" hidden="0" customHeight="1">
      <x:c r="A9" s="21" t="str">
        <x:v>ΔHstorage / Wh kg−1</x:v>
      </x:c>
      <x:c r="B9" s="21" t="str">
        <x:v>Switch pair</x:v>
      </x:c>
      <x:c r="C9" s="21" t="str">
        <x:v>M03, M08–M10</x:v>
      </x:c>
      <x:c r="D9" s="21" t="str">
        <x:v>DSC/calorimetry or computed ΔH, state purity</x:v>
      </x:c>
      <x:c r="E9" s="21" t="str">
        <x:v>Conformer-aware DFT/composite methods</x:v>
      </x:c>
      <x:c r="F9" s="21" t="str">
        <x:v>Reference states, phase, molecular mass</x:v>
      </x:c>
      <x:c r="G9" s="28" t="str">
        <x:v>Низкое</x:v>
      </x:c>
      <x:c r="H9" s="21" t="str">
        <x:v>Pair-aware label; multi-fidelity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72" hidden="0" customHeight="1">
      <x:c r="A10" s="22" t="str">
        <x:v>Cycles / degradation</x:v>
      </x:c>
      <x:c r="B10" s="22" t="str">
        <x:v>Material/process</x:v>
      </x:c>
      <x:c r="C10" s="22" t="str">
        <x:v>M03, M04</x:v>
      </x:c>
      <x:c r="D10" s="22" t="str">
        <x:v>Absorbance/conversion per cycle, oxygen, light dose, products</x:v>
      </x:c>
      <x:c r="E10" s="22" t="str">
        <x:v>Reactive prediction only qualitative</x:v>
      </x:c>
      <x:c r="F10" s="22" t="str">
        <x:v>Dose and impurities</x:v>
      </x:c>
      <x:c r="G10" s="27" t="str">
        <x:v>Очень низкое</x:v>
      </x:c>
      <x:c r="H10" s="22" t="str">
        <x:v>Survival/trajectory label, not one scalar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84" hidden="0" customHeight="1">
      <x:c r="A11" s="21" t="str">
        <x:v>Heat release</x:v>
      </x:c>
      <x:c r="B11" s="21" t="str">
        <x:v>Device/material</x:v>
      </x:c>
      <x:c r="C11" s="21" t="str">
        <x:v>M03</x:v>
      </x:c>
      <x:c r="D11" s="21" t="str">
        <x:v>IR/DSC temperature-time, mass, geometry, catalyst/trigger</x:v>
      </x:c>
      <x:c r="E11" s="21" t="str">
        <x:v>Heat-transfer simulation after calibration</x:v>
      </x:c>
      <x:c r="F11" s="21" t="str">
        <x:v>Device geometry and losses</x:v>
      </x:c>
      <x:c r="G11" s="28" t="str">
        <x:v>Очень низкое</x:v>
      </x:c>
      <x:c r="H11" s="21" t="str">
        <x:v>Не считать molecular property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72" hidden="0" customHeight="1">
      <x:c r="A12" s="22" t="str">
        <x:v>Kp / Jmax / lag time</x:v>
      </x:c>
      <x:c r="B12" s="22" t="str">
        <x:v>Compound + skin protocol</x:v>
      </x:c>
      <x:c r="C12" s="22" t="str">
        <x:v>U11–U15</x:v>
      </x:c>
      <x:c r="D12" s="22" t="str">
        <x:v>Raw values, units, skin layer/site, vehicle, pH, dose, T</x:v>
      </x:c>
      <x:c r="E12" s="22" t="str">
        <x:v>QSPR/MD/physics-informed surrogate</x:v>
      </x:c>
      <x:c r="F12" s="22" t="str">
        <x:v>Protocol dominates</x:v>
      </x:c>
      <x:c r="G12" s="27" t="str">
        <x:v>Среднее</x:v>
      </x:c>
      <x:c r="H12" s="22" t="str">
        <x:v>Hierarchical conditional model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8" hidden="0" customHeight="1">
      <x:c r="A13" s="21" t="str">
        <x:v>Skin irritation/corrosion</x:v>
      </x:c>
      <x:c r="B13" s="21" t="str">
        <x:v>Assay/human</x:v>
      </x:c>
      <x:c r="C13" s="21" t="str">
        <x:v>U07, U18, U19</x:v>
      </x:c>
      <x:c r="D13" s="21" t="str">
        <x:v>Assay, dose, call, evidence tier</x:v>
      </x:c>
      <x:c r="E13" s="21" t="str">
        <x:v>Calibrated classifier/read-across</x:v>
      </x:c>
      <x:c r="F13" s="21" t="str">
        <x:v>Assay/species/domain shift</x:v>
      </x:c>
      <x:c r="G13" s="28" t="str">
        <x:v>Среднее</x:v>
      </x:c>
      <x:c r="H13" s="21" t="str">
        <x:v>Missing ≠ negative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60" hidden="0" customHeight="1">
      <x:c r="A14" s="22" t="str">
        <x:v>Skin sensitization</x:v>
      </x:c>
      <x:c r="B14" s="22" t="str">
        <x:v>Assay/human</x:v>
      </x:c>
      <x:c r="C14" s="22" t="str">
        <x:v>U07–U10</x:v>
      </x:c>
      <x:c r="D14" s="22" t="str">
        <x:v>HPPT/LLNA/in vitro records, dose, potency</x:v>
      </x:c>
      <x:c r="E14" s="22" t="str">
        <x:v>Bayesian evidence integration/SARA-style</x:v>
      </x:c>
      <x:c r="F14" s="22" t="str">
        <x:v>Reactive metabolites, dose</x:v>
      </x:c>
      <x:c r="G14" s="27" t="str">
        <x:v>Хорошее</x:v>
      </x:c>
      <x:c r="H14" s="22" t="str">
        <x:v>Human potency preferred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84" hidden="0" customHeight="1">
      <x:c r="A15" s="21" t="str">
        <x:v>Phototoxicity/photoallergy</x:v>
      </x:c>
      <x:c r="B15" s="21" t="str">
        <x:v>Light + assay/human</x:v>
      </x:c>
      <x:c r="C15" s="21" t="str">
        <x:v>U06, U16, U17</x:v>
      </x:c>
      <x:c r="D15" s="21" t="str">
        <x:v>Light spectrum/dose, cytotoxicity ±UV, call, human evidence</x:v>
      </x:c>
      <x:c r="E15" s="21" t="str">
        <x:v>Small-data QSAR/read-across</x:v>
      </x:c>
      <x:c r="F15" s="21" t="str">
        <x:v>Absorption overlap and assay size</x:v>
      </x:c>
      <x:c r="G15" s="28" t="str">
        <x:v>Низкое</x:v>
      </x:c>
      <x:c r="H15" s="21" t="str">
        <x:v>Hard exclusion only with explicit evidence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72" hidden="0" customHeight="1">
      <x:c r="A16" s="22" t="str">
        <x:v>Regulatory status</x:v>
      </x:c>
      <x:c r="B16" s="22" t="str">
        <x:v>Jurisdiction + time</x:v>
      </x:c>
      <x:c r="C16" s="22" t="str">
        <x:v>U01–U03</x:v>
      </x:c>
      <x:c r="D16" s="22" t="str">
        <x:v>Annex/order, status, max concentration, valid date</x:v>
      </x:c>
      <x:c r="E16" s="22" t="str">
        <x:v>Не предсказывать как физическое свойство</x:v>
      </x:c>
      <x:c r="F16" s="22" t="str">
        <x:v>Regulatory drift</x:v>
      </x:c>
      <x:c r="G16" s="27" t="str">
        <x:v>Хорошее</x:v>
      </x:c>
      <x:c r="H16" s="22" t="str">
        <x:v>Versioned constraint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84" hidden="0" customHeight="1">
      <x:c r="A17" s="21" t="str">
        <x:v>SPF/UVA-PF</x:v>
      </x:c>
      <x:c r="B17" s="21" t="str">
        <x:v>Formulation/film/product</x:v>
      </x:c>
      <x:c r="C17" s="21" t="str">
        <x:v>U04, U05, U21, U22 + papers</x:v>
      </x:c>
      <x:c r="D17" s="21" t="str">
        <x:v>Method, applied dose, formula, substrate/subjects, spectrum</x:v>
      </x:c>
      <x:c r="E17" s="21" t="str">
        <x:v>Optical film model after calibration</x:v>
      </x:c>
      <x:c r="F17" s="21" t="str">
        <x:v>Synergy, dispersion, film uniformity</x:v>
      </x:c>
      <x:c r="G17" s="28" t="str">
        <x:v>Низкое</x:v>
      </x:c>
      <x:c r="H17" s="21" t="str">
        <x:v>Не оптимизировать как molecule-only label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60" hidden="0" customHeight="1">
      <x:c r="A18" s="22" t="str">
        <x:v>Synthesis/accessibility</x:v>
      </x:c>
      <x:c r="B18" s="22" t="str">
        <x:v>Molecule/reaction</x:v>
      </x:c>
      <x:c r="C18" s="22" t="str">
        <x:v>Внешние reaction databases + vendor catalogs</x:v>
      </x:c>
      <x:c r="D18" s="22" t="str">
        <x:v>Known routes, yields, availability</x:v>
      </x:c>
      <x:c r="E18" s="22" t="str">
        <x:v>SA score, retrosynthesis with domain</x:v>
      </x:c>
      <x:c r="F18" s="22" t="str">
        <x:v>False positives in unusual photochemistry</x:v>
      </x:c>
      <x:c r="G18" s="27" t="str">
        <x:v>Вне текущего обзора</x:v>
      </x:c>
      <x:c r="H18" s="22" t="str">
        <x:v>Добавить отдельным модулем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e8bfc78b1e54d48"/>
  </x:tableParts>
</x:worksheet>
</file>